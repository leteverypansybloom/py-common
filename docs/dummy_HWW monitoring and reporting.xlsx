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vo251958\Downloads\"/>
    </mc:Choice>
  </mc:AlternateContent>
  <xr:revisionPtr revIDLastSave="0" documentId="13_ncr:1_{4386D271-A4F2-4BAC-9458-162CD4E5DDC4}" xr6:coauthVersionLast="47" xr6:coauthVersionMax="47" xr10:uidLastSave="{00000000-0000-0000-0000-000000000000}"/>
  <bookViews>
    <workbookView xWindow="28680" yWindow="-120" windowWidth="29040" windowHeight="15720" tabRatio="961" firstSheet="1" activeTab="9" xr2:uid="{E8BBB2CA-ED57-46C0-A62F-E6A5034A6225}"/>
  </bookViews>
  <sheets>
    <sheet name="Account signups" sheetId="1" r:id="rId1"/>
    <sheet name="Survey info" sheetId="5" r:id="rId2"/>
    <sheet name="Website metrics 26_27" sheetId="8" r:id="rId3"/>
    <sheet name="Social media metrics 26_27" sheetId="9" r:id="rId4"/>
    <sheet name="Graphs 26_27" sheetId="10" r:id="rId5"/>
    <sheet name="Website metrics 25_26" sheetId="2" r:id="rId6"/>
    <sheet name="Social media metrics 25_26" sheetId="3" r:id="rId7"/>
    <sheet name="Graphs 25_26" sheetId="4" r:id="rId8"/>
    <sheet name="HWB Perf Rep" sheetId="6" r:id="rId9"/>
    <sheet name="Newsletter metrics" sheetId="7" r:id="rId10"/>
  </sheets>
  <definedNames>
    <definedName name="_xlnm._FilterDatabase" localSheetId="0" hidden="1">'Account signups'!$B$2:$J$152</definedName>
    <definedName name="_xlnm._FilterDatabase" localSheetId="1" hidden="1">'Survey info'!$C$2:$CC$105</definedName>
  </definedNames>
  <calcPr calcId="191028"/>
  <pivotCaches>
    <pivotCache cacheId="0" r:id="rId11"/>
    <pivotCache cacheId="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0" l="1"/>
  <c r="G25" i="9"/>
  <c r="H25" i="9"/>
  <c r="H24" i="9"/>
  <c r="G24" i="9" s="1"/>
  <c r="H23" i="9"/>
  <c r="E13" i="10"/>
  <c r="E5" i="10"/>
  <c r="B5" i="8"/>
  <c r="B9" i="8"/>
  <c r="B14" i="8"/>
  <c r="B19" i="8"/>
  <c r="G19" i="8"/>
  <c r="G14" i="8"/>
  <c r="G9" i="8"/>
  <c r="G5" i="8"/>
  <c r="D25" i="9"/>
  <c r="C24" i="10"/>
  <c r="C23" i="10"/>
  <c r="C22" i="10"/>
  <c r="D50" i="10"/>
  <c r="D51" i="10" s="1"/>
  <c r="D52" i="10" s="1"/>
  <c r="D53" i="10" s="1"/>
  <c r="D39" i="10"/>
  <c r="D40" i="10" s="1"/>
  <c r="D41" i="10" s="1"/>
  <c r="D42" i="10" s="1"/>
  <c r="D43" i="10" s="1"/>
  <c r="D44" i="10" s="1"/>
  <c r="D32" i="10"/>
  <c r="D33" i="10" s="1"/>
  <c r="D34" i="10" s="1"/>
  <c r="D35" i="10" s="1"/>
  <c r="E20" i="10"/>
  <c r="E21" i="10" s="1"/>
  <c r="E22" i="10" s="1"/>
  <c r="E23" i="10" s="1"/>
  <c r="E24" i="10" s="1"/>
  <c r="E25" i="10" s="1"/>
  <c r="C12" i="10"/>
  <c r="C13" i="10" s="1"/>
  <c r="C14" i="10" s="1"/>
  <c r="C15" i="10" s="1"/>
  <c r="E12" i="10"/>
  <c r="E4" i="10"/>
  <c r="C4" i="10"/>
  <c r="C5" i="10" s="1"/>
  <c r="C6" i="10" s="1"/>
  <c r="C7" i="10" s="1"/>
  <c r="E19" i="8"/>
  <c r="E20" i="8" s="1"/>
  <c r="E14" i="8"/>
  <c r="E9" i="8"/>
  <c r="E5" i="8"/>
  <c r="F19" i="8"/>
  <c r="D19" i="8"/>
  <c r="C19" i="8"/>
  <c r="F14" i="8"/>
  <c r="D14" i="8"/>
  <c r="C14" i="8"/>
  <c r="F9" i="8"/>
  <c r="D9" i="8"/>
  <c r="C9" i="8"/>
  <c r="F5" i="8"/>
  <c r="C5" i="8"/>
  <c r="D5" i="8"/>
  <c r="F13" i="9"/>
  <c r="F11" i="9"/>
  <c r="H13" i="9"/>
  <c r="H11" i="9"/>
  <c r="G23" i="9" s="1"/>
  <c r="D55" i="9"/>
  <c r="E55" i="9"/>
  <c r="G55" i="9"/>
  <c r="C55" i="9"/>
  <c r="D54" i="9"/>
  <c r="E54" i="9"/>
  <c r="G54" i="9"/>
  <c r="C54" i="9"/>
  <c r="D53" i="9"/>
  <c r="E53" i="9"/>
  <c r="G53" i="9"/>
  <c r="C53" i="9"/>
  <c r="D40" i="9"/>
  <c r="E40" i="9"/>
  <c r="G40" i="9"/>
  <c r="D39" i="9"/>
  <c r="E39" i="9"/>
  <c r="G39" i="9"/>
  <c r="C40" i="9"/>
  <c r="C39" i="9"/>
  <c r="D38" i="9"/>
  <c r="E38" i="9"/>
  <c r="G38" i="9"/>
  <c r="C38" i="9"/>
  <c r="E25" i="9"/>
  <c r="C25" i="9"/>
  <c r="D24" i="9"/>
  <c r="E24" i="9"/>
  <c r="C24" i="9"/>
  <c r="D23" i="9"/>
  <c r="E23" i="9"/>
  <c r="C23" i="9"/>
  <c r="D13" i="9"/>
  <c r="E13" i="9"/>
  <c r="G13" i="9"/>
  <c r="C13" i="9"/>
  <c r="D12" i="9"/>
  <c r="E12" i="9"/>
  <c r="G12" i="9"/>
  <c r="D11" i="9"/>
  <c r="E11" i="9"/>
  <c r="G11" i="9"/>
  <c r="AQ2" i="2"/>
  <c r="AQ6" i="2"/>
  <c r="T66" i="4"/>
  <c r="T65" i="4"/>
  <c r="U65" i="4" s="1"/>
  <c r="W66" i="4"/>
  <c r="W65" i="4"/>
  <c r="X65" i="4" s="1"/>
  <c r="V100" i="4"/>
  <c r="W99" i="4" s="1"/>
  <c r="V79" i="4"/>
  <c r="W78" i="4" s="1"/>
  <c r="T79" i="4"/>
  <c r="U77" i="4" s="1"/>
  <c r="X59" i="4"/>
  <c r="X60" i="4" s="1"/>
  <c r="X61" i="4" s="1"/>
  <c r="X62" i="4" s="1"/>
  <c r="X63" i="4" s="1"/>
  <c r="T100" i="4"/>
  <c r="U99" i="4" s="1"/>
  <c r="U59" i="4"/>
  <c r="U60" i="4" s="1"/>
  <c r="U61" i="4" s="1"/>
  <c r="U62" i="4" s="1"/>
  <c r="U63" i="4" s="1"/>
  <c r="AN6" i="2"/>
  <c r="AK6" i="2"/>
  <c r="AH6" i="2"/>
  <c r="AC6" i="2"/>
  <c r="Z6" i="2"/>
  <c r="W6" i="2"/>
  <c r="R6" i="2"/>
  <c r="O6" i="2"/>
  <c r="L6" i="2"/>
  <c r="F6" i="2"/>
  <c r="C6" i="2"/>
  <c r="AO6" i="2"/>
  <c r="AO8" i="2"/>
  <c r="AO3" i="2"/>
  <c r="AO2" i="2"/>
  <c r="L8" i="2"/>
  <c r="O8" i="2" s="1"/>
  <c r="R8" i="2" s="1"/>
  <c r="W8" i="2" s="1"/>
  <c r="Z8" i="2" s="1"/>
  <c r="AC8" i="2" s="1"/>
  <c r="AH8" i="2" s="1"/>
  <c r="AK8" i="2" s="1"/>
  <c r="AM8" i="2" s="1"/>
  <c r="F8" i="2"/>
  <c r="AJ13" i="2"/>
  <c r="AJ12" i="2"/>
  <c r="AJ8" i="2"/>
  <c r="AJ3" i="2"/>
  <c r="AJ2" i="2"/>
  <c r="C2" i="2"/>
  <c r="F2" i="2"/>
  <c r="AG8" i="2"/>
  <c r="AG6" i="2"/>
  <c r="AG3" i="2"/>
  <c r="AG2" i="2"/>
  <c r="AF5" i="2"/>
  <c r="W3" i="2"/>
  <c r="Z3" i="2" s="1"/>
  <c r="AC3" i="2" s="1"/>
  <c r="AH3" i="2" s="1"/>
  <c r="AK3" i="2" s="1"/>
  <c r="I3" i="2"/>
  <c r="T3" i="2" s="1"/>
  <c r="I2" i="2"/>
  <c r="L2" i="2" s="1"/>
  <c r="O2" i="2" s="1"/>
  <c r="R2" i="2" s="1"/>
  <c r="W2" i="2" s="1"/>
  <c r="Z2" i="2" s="1"/>
  <c r="AC2" i="2" s="1"/>
  <c r="AH2" i="2" s="1"/>
  <c r="AK2" i="2" s="1"/>
  <c r="AM2" i="2" s="1"/>
  <c r="AB13" i="2"/>
  <c r="AB12" i="2"/>
  <c r="AD9" i="2"/>
  <c r="B9" i="2"/>
  <c r="X9" i="2"/>
  <c r="U9" i="2"/>
  <c r="S9" i="2"/>
  <c r="P9" i="2"/>
  <c r="M9" i="2"/>
  <c r="J9" i="2"/>
  <c r="I9" i="2"/>
  <c r="G9" i="2"/>
  <c r="D9" i="2"/>
  <c r="AE8" i="2"/>
  <c r="AB8" i="2"/>
  <c r="Y8" i="2"/>
  <c r="V8" i="2"/>
  <c r="T8" i="2"/>
  <c r="Q8" i="2"/>
  <c r="N8" i="2"/>
  <c r="K8" i="2"/>
  <c r="H8" i="2"/>
  <c r="E8" i="2"/>
  <c r="E6" i="2"/>
  <c r="H6" i="2"/>
  <c r="K6" i="2"/>
  <c r="N6" i="2"/>
  <c r="Q6" i="2"/>
  <c r="T6" i="2"/>
  <c r="V6" i="2"/>
  <c r="Y6" i="2"/>
  <c r="AB6" i="2"/>
  <c r="AE6" i="2"/>
  <c r="AE3" i="2"/>
  <c r="AE2" i="2"/>
  <c r="AB2" i="2"/>
  <c r="Y2" i="2"/>
  <c r="V2" i="2"/>
  <c r="Q2" i="2"/>
  <c r="N2" i="2"/>
  <c r="K2" i="2"/>
  <c r="H2" i="2"/>
  <c r="E2" i="2"/>
  <c r="AB3" i="2"/>
  <c r="Y3" i="2"/>
  <c r="V3" i="2"/>
  <c r="Q3" i="2"/>
  <c r="N3" i="2"/>
  <c r="K3" i="2"/>
  <c r="H3" i="2"/>
  <c r="E3" i="2"/>
  <c r="AL4" i="2"/>
  <c r="AL5" i="2" s="1"/>
  <c r="AI4" i="2"/>
  <c r="AI5" i="2" s="1"/>
  <c r="AD4" i="2"/>
  <c r="AD5" i="2" s="1"/>
  <c r="AA4" i="2"/>
  <c r="AA5" i="2" s="1"/>
  <c r="X4" i="2"/>
  <c r="X5" i="2" s="1"/>
  <c r="U4" i="2"/>
  <c r="U5" i="2" s="1"/>
  <c r="S4" i="2"/>
  <c r="S5" i="2" s="1"/>
  <c r="P4" i="2"/>
  <c r="P5" i="2" s="1"/>
  <c r="M4" i="2"/>
  <c r="M5" i="2" s="1"/>
  <c r="J4" i="2"/>
  <c r="J5" i="2" s="1"/>
  <c r="G4" i="2"/>
  <c r="G5" i="2" s="1"/>
  <c r="D4" i="2"/>
  <c r="D5" i="2" s="1"/>
  <c r="B4" i="2"/>
  <c r="B5" i="2" s="1"/>
  <c r="W93" i="4" l="1"/>
  <c r="W94" i="4"/>
  <c r="W97" i="4"/>
  <c r="W95" i="4"/>
  <c r="W98" i="4"/>
  <c r="W96" i="4"/>
  <c r="U93" i="4"/>
  <c r="U94" i="4"/>
  <c r="U95" i="4"/>
  <c r="U97" i="4"/>
  <c r="U96" i="4"/>
  <c r="U98" i="4"/>
  <c r="U78" i="4"/>
  <c r="U76" i="4"/>
  <c r="AN3" i="2"/>
  <c r="AM3" i="2"/>
  <c r="AN2" i="2"/>
  <c r="B10" i="8"/>
  <c r="B15" i="8" s="1"/>
  <c r="B20" i="8" s="1"/>
  <c r="G10" i="8"/>
  <c r="G15" i="8" s="1"/>
  <c r="G20" i="8" s="1"/>
  <c r="G27" i="9"/>
  <c r="G42" i="9" s="1"/>
  <c r="G57" i="9" s="1"/>
  <c r="D10" i="8"/>
  <c r="D15" i="8" s="1"/>
  <c r="D20" i="8" s="1"/>
  <c r="C10" i="8"/>
  <c r="C15" i="8" s="1"/>
  <c r="C20" i="8" s="1"/>
  <c r="F10" i="8"/>
  <c r="F15" i="8" s="1"/>
  <c r="F20" i="8" s="1"/>
  <c r="E10" i="8"/>
  <c r="E15" i="8" s="1"/>
  <c r="E26" i="9"/>
  <c r="E41" i="9" s="1"/>
  <c r="E56" i="9" s="1"/>
  <c r="E28" i="9"/>
  <c r="E43" i="9" s="1"/>
  <c r="E58" i="9" s="1"/>
  <c r="D26" i="9"/>
  <c r="D41" i="9" s="1"/>
  <c r="D56" i="9" s="1"/>
  <c r="C28" i="9"/>
  <c r="C43" i="9" s="1"/>
  <c r="C58" i="9" s="1"/>
  <c r="D28" i="9"/>
  <c r="D43" i="9" s="1"/>
  <c r="D58" i="9" s="1"/>
  <c r="G28" i="9"/>
  <c r="G43" i="9" s="1"/>
  <c r="G58" i="9" s="1"/>
  <c r="G26" i="9"/>
  <c r="G41" i="9" s="1"/>
  <c r="G56" i="9" s="1"/>
  <c r="D27" i="9"/>
  <c r="D42" i="9" s="1"/>
  <c r="D57" i="9" s="1"/>
  <c r="E27" i="9"/>
  <c r="E42" i="9" s="1"/>
  <c r="E57" i="9" s="1"/>
  <c r="C27" i="9"/>
  <c r="C42" i="9" s="1"/>
  <c r="C57" i="9" s="1"/>
  <c r="C26" i="9"/>
  <c r="C41" i="9" s="1"/>
  <c r="C56" i="9" s="1"/>
  <c r="W75" i="4"/>
  <c r="W76" i="4"/>
  <c r="W77" i="4"/>
  <c r="X66" i="4"/>
  <c r="U66" i="4"/>
  <c r="T2" i="2"/>
  <c r="I4" i="2"/>
  <c r="I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tc={1F136801-4270-4CD4-82DF-D3B3C61FE4CF}</author>
  </authors>
  <commentList>
    <comment ref="E82" authorId="0" shapeId="0" xr:uid="{1F136801-4270-4CD4-82DF-D3B3C61FE4CF}">
      <text>
        <t>[Threaded comment]
Your version of Excel allows you to read this threaded comment; however, any edits to it will get removed if the file is opened in a newer version of Excel. Learn more: https://go.microsoft.com/fwlink/?linkid=870924
Comment:
    Not accurate - may have answered size of team / number of sites?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Kathryn Harris (Public Health Wales - Matrix House)</author>
  </authors>
  <commentList>
    <comment ref="B1" authorId="0" shapeId="0" xr:uid="{F0D336C8-B98D-48A7-959B-5217DC56E3F3}">
      <text>
        <r>
          <rPr>
            <b/>
            <sz val="9"/>
            <color indexed="81"/>
            <rFont val="Tahoma"/>
            <family val="2"/>
          </rPr>
          <t>Kathryn Harris (Public Health Wales - Matrix House):</t>
        </r>
        <r>
          <rPr>
            <sz val="9"/>
            <color indexed="81"/>
            <rFont val="Tahoma"/>
            <family val="2"/>
          </rPr>
          <t xml:space="preserve">
Sessions = The total number of individual visitor sessions recorded.</t>
        </r>
      </text>
    </comment>
    <comment ref="A8" authorId="0" shapeId="0" xr:uid="{7609BB09-F6DE-4C60-A4BB-91E2DD38C5E5}">
      <text>
        <r>
          <rPr>
            <b/>
            <sz val="9"/>
            <color indexed="81"/>
            <rFont val="Tahoma"/>
            <family val="2"/>
          </rPr>
          <t>Kathryn Harris (Public Health Wales - Matrix House):</t>
        </r>
        <r>
          <rPr>
            <sz val="9"/>
            <color indexed="81"/>
            <rFont val="Tahoma"/>
            <family val="2"/>
          </rPr>
          <t xml:space="preserve">
Paid marketing commenced 1 September 2026</t>
        </r>
      </text>
    </comment>
  </commentList>
</comments>
</file>

<file path=xl/sharedStrings.xml><?xml version="1.0" encoding="utf-8"?>
<sst xmlns="http://schemas.openxmlformats.org/spreadsheetml/2006/main" count="7415" uniqueCount="823">
  <si>
    <t>Last updated: 02/03/2026</t>
  </si>
  <si>
    <t>Count</t>
  </si>
  <si>
    <t>Org (duplicates in red)</t>
  </si>
  <si>
    <t>Role (complete if duplicate org)</t>
  </si>
  <si>
    <t>Size</t>
  </si>
  <si>
    <t>Sector</t>
  </si>
  <si>
    <t>Industry</t>
  </si>
  <si>
    <t>Number of sites</t>
  </si>
  <si>
    <t>Completed survey?</t>
  </si>
  <si>
    <t>Requested WAS?</t>
  </si>
  <si>
    <t>Attended  First Steps</t>
  </si>
  <si>
    <t>Peer Mentoring</t>
  </si>
  <si>
    <t>10-19</t>
  </si>
  <si>
    <t>Private Sector</t>
  </si>
  <si>
    <t>Construction</t>
  </si>
  <si>
    <t>0-2</t>
  </si>
  <si>
    <t>other_options</t>
  </si>
  <si>
    <t xml:space="preserve">
Human Health &amp; Social Work Activities</t>
  </si>
  <si>
    <t>Not Applicable (e.g. if employees all work remotely with no set worksite)</t>
  </si>
  <si>
    <t>3-4</t>
  </si>
  <si>
    <t>Business Administration &amp; Support Services</t>
  </si>
  <si>
    <t xml:space="preserve">
Arts, Entertainment, Recreation, &amp; Other Services</t>
  </si>
  <si>
    <t xml:space="preserve">
2-5</t>
  </si>
  <si>
    <t>Y</t>
  </si>
  <si>
    <t>50-99</t>
  </si>
  <si>
    <t>Charity or voluntary sector (including social enterprises)</t>
  </si>
  <si>
    <t>Human Health &amp; Social Work Activities</t>
  </si>
  <si>
    <t>2-5</t>
  </si>
  <si>
    <t>Y (Jan)</t>
  </si>
  <si>
    <t>Education</t>
  </si>
  <si>
    <t>1000+</t>
  </si>
  <si>
    <t>Public Sector (local or central government financed organisation)</t>
  </si>
  <si>
    <t>11+</t>
  </si>
  <si>
    <t>Y (Dec)</t>
  </si>
  <si>
    <t xml:space="preserve">
100-249</t>
  </si>
  <si>
    <t>5-9</t>
  </si>
  <si>
    <t xml:space="preserve">
250-999</t>
  </si>
  <si>
    <t xml:space="preserve">
Accommodation &amp; Food Services</t>
  </si>
  <si>
    <t xml:space="preserve">
1000+</t>
  </si>
  <si>
    <t>250-999</t>
  </si>
  <si>
    <t xml:space="preserve">
Education</t>
  </si>
  <si>
    <t>Transport &amp; Storage (including postal)</t>
  </si>
  <si>
    <t>100-249</t>
  </si>
  <si>
    <t xml:space="preserve">
Private Sector</t>
  </si>
  <si>
    <t>Manufacturing</t>
  </si>
  <si>
    <t xml:space="preserve">
20-49</t>
  </si>
  <si>
    <t xml:space="preserve">
Financial &amp; Insurance</t>
  </si>
  <si>
    <t xml:space="preserve">
other_options</t>
  </si>
  <si>
    <t xml:space="preserve">
Public Sector (local or central government financed organisation)</t>
  </si>
  <si>
    <t>20-49</t>
  </si>
  <si>
    <t>Public Administration, Defence, &amp; Social Security</t>
  </si>
  <si>
    <t>Y (Nov 25 &amp; Aug 26)</t>
  </si>
  <si>
    <t xml:space="preserve">
Transport &amp; Storage (including postal)</t>
  </si>
  <si>
    <t xml:space="preserve">
Public Administration, Defence, &amp; Social Security</t>
  </si>
  <si>
    <t xml:space="preserve">
Information &amp; Communication</t>
  </si>
  <si>
    <t>1 10</t>
  </si>
  <si>
    <t>Mining, quarrying &amp; utilities</t>
  </si>
  <si>
    <t>6-10</t>
  </si>
  <si>
    <t xml:space="preserve">
Mining, Quarrying, &amp; Utilities (e.g. energy, water, waste supply)</t>
  </si>
  <si>
    <t>Y (May 26)</t>
  </si>
  <si>
    <t>Accommodation &amp; Food Services</t>
  </si>
  <si>
    <t>Retail</t>
  </si>
  <si>
    <t>Y (Jan 26 &amp; Aug 26)</t>
  </si>
  <si>
    <t>Information &amp; Communication</t>
  </si>
  <si>
    <t>Wholesale</t>
  </si>
  <si>
    <t xml:space="preserve">
Professional, Scientific, &amp; Technical Activities</t>
  </si>
  <si>
    <t>Y (March 2026)</t>
  </si>
  <si>
    <t>Agriculture, Forestry, &amp; Fishing</t>
  </si>
  <si>
    <t>Property &amp; Real Estate Services</t>
  </si>
  <si>
    <t>1</t>
  </si>
  <si>
    <t>Professional, Scientific, &amp; Technical Activities</t>
  </si>
  <si>
    <t xml:space="preserve">
11+</t>
  </si>
  <si>
    <t>Y (July 26)</t>
  </si>
  <si>
    <t>Motor Trades</t>
  </si>
  <si>
    <t>Y (Aug 26)</t>
  </si>
  <si>
    <t>Y (Sept 26)</t>
  </si>
  <si>
    <t>Environment Officer</t>
  </si>
  <si>
    <t>help me quit behaviourist</t>
  </si>
  <si>
    <t xml:space="preserve">
HR Manager</t>
  </si>
  <si>
    <t>Co-ordinator of employee wellbeing</t>
  </si>
  <si>
    <t>Patnership Development Officer</t>
  </si>
  <si>
    <t>Wellbeing/Welfare Officer</t>
  </si>
  <si>
    <t>HR Business Partner</t>
  </si>
  <si>
    <t>Associate Director - People Services</t>
  </si>
  <si>
    <t xml:space="preserve">
School nurse</t>
  </si>
  <si>
    <t xml:space="preserve">
Area coordinator</t>
  </si>
  <si>
    <t>CEO</t>
  </si>
  <si>
    <t>Head of Operations</t>
  </si>
  <si>
    <t>What are the most common reasons for sickness absence in your organisation?</t>
  </si>
  <si>
    <t>Which of the following areas are currently a priority for your organisation, or that you'd like to focus on in the near future?</t>
  </si>
  <si>
    <t>Do you provide access to any of the following health and wellbeing services?</t>
  </si>
  <si>
    <t>Do you promote any of the following positive health and wellbeing behaviours?</t>
  </si>
  <si>
    <t>How is health and wellbeing information communicated to staff?</t>
  </si>
  <si>
    <t>What kind of data does your organisation use to inform and evaluate wellbeing activities?</t>
  </si>
  <si>
    <t>Month</t>
  </si>
  <si>
    <t>Entry Date</t>
  </si>
  <si>
    <t>Organisation</t>
  </si>
  <si>
    <t>Email address</t>
  </si>
  <si>
    <t>How would you rate your organisation's current level of activity to support employee health and wellbeing?</t>
  </si>
  <si>
    <t>Is there a named person or team responsible for health and wellbeing at work?</t>
  </si>
  <si>
    <t>Overall, how much of an issue is sickness absence for your organisation or business?</t>
  </si>
  <si>
    <t>Caring responsibilities</t>
  </si>
  <si>
    <t>Eye/ear/nose/mouth/dental problems</t>
  </si>
  <si>
    <t>Fatigue or burnout</t>
  </si>
  <si>
    <t>Gastrointestinal problems</t>
  </si>
  <si>
    <t>Genito-urinary problems</t>
  </si>
  <si>
    <t>Headaches and migraines</t>
  </si>
  <si>
    <t>Heart, blood pressure, circulation problems</t>
  </si>
  <si>
    <t>Mental health conditions (e.g. anxiety, depression, stress)</t>
  </si>
  <si>
    <t>Minor illness (includes coughs, colds and flu; sickness, nausea and diarrhoea)</t>
  </si>
  <si>
    <t>Musculoskeletal issues or injuries (e.g. back pain, repetitive strain)</t>
  </si>
  <si>
    <t>Respiratory conditions</t>
  </si>
  <si>
    <t>Surgery or planned treatment</t>
  </si>
  <si>
    <t>Other</t>
  </si>
  <si>
    <t>Not known</t>
  </si>
  <si>
    <t>Other (more info)</t>
  </si>
  <si>
    <t>Do employees have access to support during sickness absence?</t>
  </si>
  <si>
    <t>Do you involve employees in shaping health and wellbeing activities or decisions at work?</t>
  </si>
  <si>
    <t>Financial wellbeing</t>
  </si>
  <si>
    <t>Flexible working</t>
  </si>
  <si>
    <t>Diversity and inclusion</t>
  </si>
  <si>
    <t>Healthy eating</t>
  </si>
  <si>
    <t>Mental health and wellbeing</t>
  </si>
  <si>
    <t>Physical activity</t>
  </si>
  <si>
    <t>Sickness absence management</t>
  </si>
  <si>
    <t>Tobacco/alcohol/substance misuse</t>
  </si>
  <si>
    <t>Musculoskeletal health</t>
  </si>
  <si>
    <t>Employee Assistance Programme (EAP) or counselling</t>
  </si>
  <si>
    <t>In Work Support services</t>
  </si>
  <si>
    <t>Occupational health</t>
  </si>
  <si>
    <t>Signposting to support services</t>
  </si>
  <si>
    <t>Stress Risk Assessments</t>
  </si>
  <si>
    <t>None of the above</t>
  </si>
  <si>
    <t>Active travel</t>
  </si>
  <si>
    <t>Being active</t>
  </si>
  <si>
    <t>Connecting with nature</t>
  </si>
  <si>
    <t>Mental wellbeing and stress management</t>
  </si>
  <si>
    <t>Quitting smoking or vaping</t>
  </si>
  <si>
    <t>Signposting to information and resources</t>
  </si>
  <si>
    <t>Social connection and team engagement</t>
  </si>
  <si>
    <t>Taking breaks and avoiding prolonged sitting</t>
  </si>
  <si>
    <t>Work-life balance and rest</t>
  </si>
  <si>
    <t>Intranet/email</t>
  </si>
  <si>
    <t>Noticeboards/posters</t>
  </si>
  <si>
    <t>Staff meetings</t>
  </si>
  <si>
    <t>No regular communication</t>
  </si>
  <si>
    <t>Do you evaluate the impact of your wellbeing activities?</t>
  </si>
  <si>
    <t>Informal feedback</t>
  </si>
  <si>
    <t>No data use</t>
  </si>
  <si>
    <t>Sickness absence data</t>
  </si>
  <si>
    <t>Staff surveys</t>
  </si>
  <si>
    <t>Does your organisation offer flexible working arrangements?</t>
  </si>
  <si>
    <t>Do employees have regular opportunities to provide feedback on organisational changes?</t>
  </si>
  <si>
    <t>Are healthy food options available at your workplace?</t>
  </si>
  <si>
    <t>Completing the HWW Employer Survey Tool was easy:</t>
  </si>
  <si>
    <t>What parts (if any) of the tool completion process could be improved?</t>
  </si>
  <si>
    <t>I will take action on the advice provided to me in my report:</t>
  </si>
  <si>
    <t>Embedded - health and wellbeing is integrated across the organisation and supported at all levels</t>
  </si>
  <si>
    <t>Yes, individual with other responsibilities</t>
  </si>
  <si>
    <t>A moderate issue - it impacts operations at times</t>
  </si>
  <si>
    <t xml:space="preserve"> </t>
  </si>
  <si>
    <t>Yes, structured return-to-work support</t>
  </si>
  <si>
    <t>Regularly</t>
  </si>
  <si>
    <t>Sleep_x000D_
Gambling and Addiction</t>
  </si>
  <si>
    <t>Wellbeing Events_x000D_
Wellbeing Check ins integrated into 121′ discussions _x000D_
Staff Conferences_x000D_
Accredited internal training</t>
  </si>
  <si>
    <t>Occasionally</t>
  </si>
  <si>
    <t>Yes, widely available</t>
  </si>
  <si>
    <t>Yes</t>
  </si>
  <si>
    <t>No catering provision</t>
  </si>
  <si>
    <t>Agree</t>
  </si>
  <si>
    <t>Strongly agree</t>
  </si>
  <si>
    <t>Established - we have a range of planned and consistent activities in place</t>
  </si>
  <si>
    <t>No designated lead</t>
  </si>
  <si>
    <t>A minor issue - occasional spikes but not a major concern</t>
  </si>
  <si>
    <t>No</t>
  </si>
  <si>
    <t>QR code to raise any concerns / compliments / suggestions anonymously</t>
  </si>
  <si>
    <t>In some teams</t>
  </si>
  <si>
    <t>Sometimes</t>
  </si>
  <si>
    <t>Yes, regularly</t>
  </si>
  <si>
    <t>n/a</t>
  </si>
  <si>
    <t>Developing - we have some structured initiatives, but they are not yet consistent or strategic</t>
  </si>
  <si>
    <t>A significant issue - it regularly disrupts productivity or staffing</t>
  </si>
  <si>
    <t>Informal support only</t>
  </si>
  <si>
    <t>notes and WhatsApp</t>
  </si>
  <si>
    <t>Basic - we've taken some steps, but activity is limited or informal</t>
  </si>
  <si>
    <t>Rarely/Never</t>
  </si>
  <si>
    <t>Rarely or not at all</t>
  </si>
  <si>
    <t>None</t>
  </si>
  <si>
    <t>Internal surveys</t>
  </si>
  <si>
    <t>Frequency could be clearer, it was hard to say yes sometimes, does it suggest this is promoted on a weekly basis for example. Hard to gage. Also efforts are from across the organisation from different divisions not just one central team so have reflected this, although not sure if this is right._x000D_
_x000D_
Actions taken below are only agree due to considerations such as internal capacity and budgets.</t>
  </si>
  <si>
    <t>Hormone health – menopause</t>
  </si>
  <si>
    <t>Yes, dedicated team</t>
  </si>
  <si>
    <t>Recent merger means we are taking the opportunity to understand ‘Hedyn’s Culture, as we have brought two very different organisations together. A big part of this is colleague wellbeing.</t>
  </si>
  <si>
    <t>We also have a TRiM Team in place at Hedyn. We have two new roles at Hedyn – A Colleague Experience Specialist and a Wellbeing Advisor, who both sit within our Learning Team.</t>
  </si>
  <si>
    <t>We have a dedicated Wellbeing page on our Intranet, supporting all our services to date. We have regular wellbeing walks for colleagues who wish to attend, wellbeing breakfasts, events &amp; resources.</t>
  </si>
  <si>
    <t>We talk a lot to colleagues..</t>
  </si>
  <si>
    <t>All seemed to work well. some questions such as the healthy food options at work, meant I had to find a best fit answer. We provide snacks at work, some healthy such as nuts, dried fruit, but some chocolate !! everyone loves the snacks and gets exited when they are filled up. We also provide fresh fruit to all our office sites once a fortnight. we don’t provide a hot food services. We do provide buffets for some meetings and events. _x000D_
_x000D_
The question below, of course we will look at the advice on the report and use it to influence our thinking and actions. But it still needs to work for us as Hedyn and fit with our values. _x000D_
_x000D_
thank you for your support.</t>
  </si>
  <si>
    <t>Neither agree or disagree</t>
  </si>
  <si>
    <t>Minimal - we have little or no activity in place</t>
  </si>
  <si>
    <t>Cycle to work scheme</t>
  </si>
  <si>
    <t>No support available</t>
  </si>
  <si>
    <t>Not sure</t>
  </si>
  <si>
    <t>We have a managers monthly newsletter for Wellbeing, Health and Safety.  But we know this isn’t shared with all staff.  It’s also available on the intranet.</t>
  </si>
  <si>
    <t>Not an issue - levels are very low and manageable</t>
  </si>
  <si>
    <t>Neurological</t>
  </si>
  <si>
    <t>Yes – Depending on individual need. Regular contact with HR, reasonable adjustments, access to EAP MH support and can request MSK support. Access to OH assessment, phased returns and support as needed</t>
  </si>
  <si>
    <t>Wellbeing tea breaks
try to engage via a workspace platform available to all staff
Wellbeing Champions – staff members who are involved in wellbeing activities</t>
  </si>
  <si>
    <t>We have two wellbeing fortnight campaigns which focus on four pillars of wellbeing and run a range of activities in relation to this.</t>
  </si>
  <si>
    <t>The absence information topics need to be wider , such as sporadic day of illness / D&amp;V etc which are one/two days absence also pregnancy related and absence following bereavement are common</t>
  </si>
  <si>
    <t>Private healthcare</t>
  </si>
  <si>
    <t>Yn datblygu – mae gennym rai mentrau strwythuredig, ond nid ydynt yn gyson nac yn strategol</t>
  </si>
  <si>
    <t>Oes, unigolyn sydd â chyfrifoldebau eraill</t>
  </si>
  <si>
    <t>Problem sylweddol – mae'n tarfu ar gynhyrchiant neu staffio yn rheolaidd</t>
  </si>
  <si>
    <t>Problemau gastroberfeddol</t>
  </si>
  <si>
    <t>Cyflyrau iechyd meddwl (e.e. gorbryder, iselder, straen)</t>
  </si>
  <si>
    <t>Mân salwch (yn cynnwys peswch, annwyd a ffliw; cyfog a dolur rhydd)</t>
  </si>
  <si>
    <t>Cymorth anffurfiol yn unig</t>
  </si>
  <si>
    <t>Weithiau</t>
  </si>
  <si>
    <t>Bwyta'n iach</t>
  </si>
  <si>
    <t>Iechyd a lles meddyliol</t>
  </si>
  <si>
    <t>Rheoli absenoldeb salwch</t>
  </si>
  <si>
    <t>Dim o'r uchod</t>
  </si>
  <si>
    <t>Dim cyfathrebu rheolaidd</t>
  </si>
  <si>
    <t>Na</t>
  </si>
  <si>
    <t>Dim defnydd o ddata</t>
  </si>
  <si>
    <t>Anaml neu ddim o gwbl</t>
  </si>
  <si>
    <t>Dim darpariaeth arlwyo</t>
  </si>
  <si>
    <t>Cytuno</t>
  </si>
  <si>
    <t>Cytuno'n gryf</t>
  </si>
  <si>
    <t>Neurological – fibromyalgia</t>
  </si>
  <si>
    <t>staff net poster email.</t>
  </si>
  <si>
    <t>Nothing I can think of.</t>
  </si>
  <si>
    <t>Unsure</t>
  </si>
  <si>
    <t>Via MS Teams channels</t>
  </si>
  <si>
    <t>Health &amp; Wellbeing Surveys but this is a new initiative.</t>
  </si>
  <si>
    <t>Fairly easy although would like to have had the opportunity to highlight what we would like further support with if possible.</t>
  </si>
  <si>
    <t>50-100</t>
  </si>
  <si>
    <t>workload_x000D_
time management</t>
  </si>
  <si>
    <t>Reason defined as Other in our reporting including bereavement/other physical symptoms/personal wellbeing</t>
  </si>
  <si>
    <t>Onboarding wellbeing risk assessments if necessary_x000D_
Regular welfare meetings for colleagues on sick leave</t>
  </si>
  <si>
    <t>Private Health Care with access to a GP 24hrs a day and specialist services, including mental health and skeletal, cancer care etc. We have quite a comprehensive cover.</t>
  </si>
  <si>
    <t>Via our Employee Engagement Groups.</t>
  </si>
  <si>
    <t>It was easy to use and relevant questions were asked</t>
  </si>
  <si>
    <t>Menopause and peri menopause support</t>
  </si>
  <si>
    <t>Discussions at meetings</t>
  </si>
  <si>
    <t>risk asessments for physical illness / starting to signpost to support services</t>
  </si>
  <si>
    <t>whatsapp</t>
  </si>
  <si>
    <t>Sickness bug</t>
  </si>
  <si>
    <t>Service usage reports (e.g. EAP)
Formal feedback questionnaires</t>
  </si>
  <si>
    <t> </t>
  </si>
  <si>
    <t>Via our HR Platform and by What’s app messages</t>
  </si>
  <si>
    <t>Our apprentices have access to counselling services through the training provider we use to deliver their qualifications</t>
  </si>
  <si>
    <t>Via a group chat id applicable</t>
  </si>
  <si>
    <t>Staff Wellbeing service clinical outcome measures and feedback
Workplace Health Needs Assessment</t>
  </si>
  <si>
    <t>We use Teams to also connect with staff.  We have a wellbeing working group in place and they post alot on Teams.</t>
  </si>
  <si>
    <t>Virtual GP
Physiotherapy
Carer support
Cancer awareness &amp; nurse support
Second medical opinion
Child mental health
Manager support
TRiM
Mental Health First Aiders
Addiction
Gym</t>
  </si>
  <si>
    <t>Five Ways to Wellbeing
Self-care and self-compassion
Suicide prevention training
Mental Health Awareness training
Mindfulness</t>
  </si>
  <si>
    <t>In-person talks
Word of mouth (e.g. via channels such as Mental Health First Aiders &amp; TU)
Workshops and trainings
MS Teams
Colleague Networks</t>
  </si>
  <si>
    <t>Wellbeing Action Plans
Workplace Needs Assessments
Carers Passport
Mindful Employer resources
Dedicated Employee Health &amp; Wellbeing SharePoint page
Local discounts on alternative H&amp;W therapies</t>
  </si>
  <si>
    <t>We have an annual H&amp;W programme where we promote health awareness, at least one session per month is an in-person event.  We also have a monthly newsletter with a section dedicated to H&amp;W.</t>
  </si>
  <si>
    <t>Monthly Newsletter.
Dedicated Sharepoint Page
Return to works and Attendance Support/Welfare meetings</t>
  </si>
  <si>
    <t>TRiM – (early intervention support for trauma)
Over 700 Wellbeing Champions
Vaccination campaigns for Occupational and seasonal vaccines
Smoking cessation services
Menopause support
ND Network</t>
  </si>
  <si>
    <t>we use our Sage HR app to relay information to staff as a lot of our workforce are remote / lone working</t>
  </si>
  <si>
    <t>More free text boxes to share more information so we can better review and monitor progress.</t>
  </si>
  <si>
    <t>No, food options are not healthy</t>
  </si>
  <si>
    <t>Wellbeing champions tracking</t>
  </si>
  <si>
    <t>Doctor / dental appointments</t>
  </si>
  <si>
    <t>Pregnancy risk assessments, menopause risk assessments, PEEPs, DSE assessments.
Employees have access to PMI through Vitality.
We have a quiet zone and wellbeing room available to all employees.</t>
  </si>
  <si>
    <t>BUPA package that includes 24 GP advice, eye tests and money towards glasses, access to physio</t>
  </si>
  <si>
    <t>We have wellbeing champions and living well courses and grief recovery support</t>
  </si>
  <si>
    <t>Self compassion
It’s ok to be ok and ask for help</t>
  </si>
  <si>
    <t>Through champions awareness days and quarterly newsletters</t>
  </si>
  <si>
    <t>Visits / Sessions</t>
  </si>
  <si>
    <t>Total users</t>
  </si>
  <si>
    <t>New users</t>
  </si>
  <si>
    <t>Avg visit time (seconds)</t>
  </si>
  <si>
    <t>Page views</t>
  </si>
  <si>
    <t>Downloads</t>
  </si>
  <si>
    <t>Q1</t>
  </si>
  <si>
    <t>Q2</t>
  </si>
  <si>
    <t>YTD cumulative</t>
  </si>
  <si>
    <t>Q3</t>
  </si>
  <si>
    <t>Q4</t>
  </si>
  <si>
    <t>Top pages</t>
  </si>
  <si>
    <t>Views</t>
  </si>
  <si>
    <t>Top topic pages</t>
  </si>
  <si>
    <t>Homepage</t>
  </si>
  <si>
    <t>Suicide support - what empoyers can do</t>
  </si>
  <si>
    <t>Employer Survey Tool</t>
  </si>
  <si>
    <t>ADHD in the workplace</t>
  </si>
  <si>
    <t>Newsletter</t>
  </si>
  <si>
    <t>Sickness ansence management</t>
  </si>
  <si>
    <t>Stress management - causes of stress at work</t>
  </si>
  <si>
    <t>Events &amp; Campaigns</t>
  </si>
  <si>
    <t>HWW Live in Cardiff</t>
  </si>
  <si>
    <t>Anxiety in the workplace</t>
  </si>
  <si>
    <t>Breastfeeding support in the workplace</t>
  </si>
  <si>
    <t>Nature connectedness - nature calendar</t>
  </si>
  <si>
    <t>Workplace Wellbing calendar</t>
  </si>
  <si>
    <t>Recognition badges</t>
  </si>
  <si>
    <t xml:space="preserve">Young employees - resources </t>
  </si>
  <si>
    <t>Ready Set Thrive workshops</t>
  </si>
  <si>
    <t>Campaigns and events</t>
  </si>
  <si>
    <t>Young employees in the workplace</t>
  </si>
  <si>
    <t>Breastfeeding support - resources</t>
  </si>
  <si>
    <t>Financial wellbeing in the workplace</t>
  </si>
  <si>
    <t>Register</t>
  </si>
  <si>
    <t>Young employees in the workplace - resources</t>
  </si>
  <si>
    <t>Healh A-Z</t>
  </si>
  <si>
    <t>Date</t>
  </si>
  <si>
    <t>Platform</t>
  </si>
  <si>
    <t>Impressions</t>
  </si>
  <si>
    <t>Clicks</t>
  </si>
  <si>
    <t>Reach</t>
  </si>
  <si>
    <t>Engagement rate</t>
  </si>
  <si>
    <t>New followers</t>
  </si>
  <si>
    <t>Total followers</t>
  </si>
  <si>
    <t>LinkedIn</t>
  </si>
  <si>
    <t>Facebook</t>
  </si>
  <si>
    <t>Instagram</t>
  </si>
  <si>
    <t>NA</t>
  </si>
  <si>
    <t>Website</t>
  </si>
  <si>
    <t>Website users</t>
  </si>
  <si>
    <t>25-26</t>
  </si>
  <si>
    <t>cumulative</t>
  </si>
  <si>
    <t>26-27</t>
  </si>
  <si>
    <t>Website sessions</t>
  </si>
  <si>
    <t>Social media</t>
  </si>
  <si>
    <t>Quarterly new followers</t>
  </si>
  <si>
    <t>Followers</t>
  </si>
  <si>
    <t>Cumulative</t>
  </si>
  <si>
    <t>2025-26</t>
  </si>
  <si>
    <t>2026-27</t>
  </si>
  <si>
    <t>Accounts</t>
  </si>
  <si>
    <t>Financial Year</t>
  </si>
  <si>
    <t>Quarter</t>
  </si>
  <si>
    <t>New accounts</t>
  </si>
  <si>
    <t>Cumulative accounts</t>
  </si>
  <si>
    <t>New sign-ups</t>
  </si>
  <si>
    <t>Cumulative sign-ups</t>
  </si>
  <si>
    <t>Survey completions</t>
  </si>
  <si>
    <t>Cumulative completions</t>
  </si>
  <si>
    <t>MoM</t>
  </si>
  <si>
    <t>Q2 v Q1</t>
  </si>
  <si>
    <t>Q3 v Q2</t>
  </si>
  <si>
    <t>Q4 v Q3</t>
  </si>
  <si>
    <t>TOTAL 25/26</t>
  </si>
  <si>
    <t>Visitors</t>
  </si>
  <si>
    <t>New visitors</t>
  </si>
  <si>
    <t>Return visitors</t>
  </si>
  <si>
    <t>Return visit %</t>
  </si>
  <si>
    <t>Sessions</t>
  </si>
  <si>
    <t>Average visit length</t>
  </si>
  <si>
    <t>4m46s</t>
  </si>
  <si>
    <t>1m28s</t>
  </si>
  <si>
    <t>1m46s</t>
  </si>
  <si>
    <t>2m</t>
  </si>
  <si>
    <t>1m4s</t>
  </si>
  <si>
    <t>2m25s</t>
  </si>
  <si>
    <t>2m9s</t>
  </si>
  <si>
    <t>1m57s</t>
  </si>
  <si>
    <t>1m38s</t>
  </si>
  <si>
    <t>1m54s</t>
  </si>
  <si>
    <t>1m83s</t>
  </si>
  <si>
    <t>1m26s</t>
  </si>
  <si>
    <t>1m25s</t>
  </si>
  <si>
    <t>1m30s</t>
  </si>
  <si>
    <t>Average page views per visit</t>
  </si>
  <si>
    <t>Platform used</t>
  </si>
  <si>
    <t>74% desktop
25% mobile 
1% tablet</t>
  </si>
  <si>
    <t>73% desktop 
25% mobile
2% tablet</t>
  </si>
  <si>
    <t>84% desktop
15% mobile 
1% tablet</t>
  </si>
  <si>
    <t>75% desktop
24% mobile
1% tablet</t>
  </si>
  <si>
    <t>86% desktop
14% mobile</t>
  </si>
  <si>
    <t>90% desktop
10% mobile</t>
  </si>
  <si>
    <t>84% desktop
5% mobile
1% tablet</t>
  </si>
  <si>
    <t>85% desktop
15% mobile</t>
  </si>
  <si>
    <t>77% desktop
22% mobile
1% tablet</t>
  </si>
  <si>
    <t>100% desktop</t>
  </si>
  <si>
    <t>82% desktop
18% mobile</t>
  </si>
  <si>
    <t>355 desktop
141 mobile
2 tablet</t>
  </si>
  <si>
    <t>Surveys submitted</t>
  </si>
  <si>
    <t>N/A</t>
  </si>
  <si>
    <t>WAS requests</t>
  </si>
  <si>
    <t>25/26 YTD</t>
  </si>
  <si>
    <t>Most visited pages</t>
  </si>
  <si>
    <t xml:space="preserve">Homepage </t>
  </si>
  <si>
    <t>Homepage (758 visits)</t>
  </si>
  <si>
    <t>Homepage (201 visits)</t>
  </si>
  <si>
    <t xml:space="preserve"> Employer Survey Tool (due to internal testing)</t>
  </si>
  <si>
    <t>Homepage (622)</t>
  </si>
  <si>
    <t>Homepage (333)</t>
  </si>
  <si>
    <t>Homepage (2757)</t>
  </si>
  <si>
    <t>Homepage (277)</t>
  </si>
  <si>
    <t>Homepage (339)</t>
  </si>
  <si>
    <t>Topic A-Z</t>
  </si>
  <si>
    <t>Topic A-Z (329)</t>
  </si>
  <si>
    <t>Employer Survey Tool (323 due to internal testing)</t>
  </si>
  <si>
    <t>Employer Survey Tool (198)</t>
  </si>
  <si>
    <t>Employer Survey Tool (1316)</t>
  </si>
  <si>
    <t>Employer Survey Tool (130)</t>
  </si>
  <si>
    <t>Newsletter (160)</t>
  </si>
  <si>
    <t>Campaigns and events (306)</t>
  </si>
  <si>
    <t>Account (due to internal testing)</t>
  </si>
  <si>
    <t>Topic A-Z (218)</t>
  </si>
  <si>
    <t xml:space="preserve">Newsletter </t>
  </si>
  <si>
    <t>Newsletter (174)</t>
  </si>
  <si>
    <t>Topic A-Z (1029)</t>
  </si>
  <si>
    <t>Newsletter (128)</t>
  </si>
  <si>
    <t>Campaigns and events (130)</t>
  </si>
  <si>
    <t>Learning resources )</t>
  </si>
  <si>
    <t>Learning resources</t>
  </si>
  <si>
    <t>Learning resources (188)</t>
  </si>
  <si>
    <t xml:space="preserve">Health A-Z </t>
  </si>
  <si>
    <t>Campaigns and events (216)</t>
  </si>
  <si>
    <t>Topic A-Z (109)</t>
  </si>
  <si>
    <t>Campaigns and events (920)</t>
  </si>
  <si>
    <t>Conflict webinar event page (81)</t>
  </si>
  <si>
    <t>Health A-Z (91)</t>
  </si>
  <si>
    <t>Newsletter (65 visits)</t>
  </si>
  <si>
    <t>MSA webinar event page (59 visits)</t>
  </si>
  <si>
    <t xml:space="preserve">Learning resources </t>
  </si>
  <si>
    <t>Newsletter (154)</t>
  </si>
  <si>
    <t>Campaigns and Events</t>
  </si>
  <si>
    <t>Healthy Working Wales Employer Survey Tool (due to internal testing)</t>
  </si>
  <si>
    <t>Newsletter (171)</t>
  </si>
  <si>
    <t>New free services event</t>
  </si>
  <si>
    <t>Campaigns and events (91)</t>
  </si>
  <si>
    <t>Newsletter (809)</t>
  </si>
  <si>
    <t>Campaigns and events (72)</t>
  </si>
  <si>
    <t>March newsletter (56)</t>
  </si>
  <si>
    <t>Most visited topic pages</t>
  </si>
  <si>
    <t>1. Mental health and wellbeing at work (34 visits)</t>
  </si>
  <si>
    <t>1. Sickness absence management (35 visits)</t>
  </si>
  <si>
    <r>
      <t>1.</t>
    </r>
    <r>
      <rPr>
        <sz val="7"/>
        <color theme="1"/>
        <rFont val="Times New Roman"/>
        <family val="1"/>
      </rPr>
      <t xml:space="preserve">   </t>
    </r>
    <r>
      <rPr>
        <sz val="11"/>
        <color theme="1"/>
        <rFont val="Verdana"/>
        <family val="2"/>
      </rPr>
      <t>Sickness absence management (119 views)</t>
    </r>
  </si>
  <si>
    <t>1. Menopause support at work (19 views)</t>
  </si>
  <si>
    <t>1. Nature Connectedness (22 visits)</t>
  </si>
  <si>
    <t>1. Mental health and wellbeing at work - The cost of poor mental health in the workplace (20 visits)</t>
  </si>
  <si>
    <t>Nature connectedness (50 views)</t>
  </si>
  <si>
    <t>Sickness absence management (32 views)</t>
  </si>
  <si>
    <t>Neurodiversity in the workplace (48 views)</t>
  </si>
  <si>
    <t>Financial wellbeing (14 views)</t>
  </si>
  <si>
    <t>Sickness absence management (76 views)</t>
  </si>
  <si>
    <t>Young employees (28)</t>
  </si>
  <si>
    <t>Sickness absence management (268 views)</t>
  </si>
  <si>
    <t>Sickness absence management (4 views)</t>
  </si>
  <si>
    <t>ADHD in the workplace (52)</t>
  </si>
  <si>
    <t>2. Sickness absence management (29 visits)</t>
  </si>
  <si>
    <t>2. Mental health and wellbeing at work (26 visits)</t>
  </si>
  <si>
    <r>
      <t>2.</t>
    </r>
    <r>
      <rPr>
        <sz val="7"/>
        <color theme="1"/>
        <rFont val="Times New Roman"/>
        <family val="1"/>
      </rPr>
      <t xml:space="preserve">   </t>
    </r>
    <r>
      <rPr>
        <sz val="11"/>
        <color theme="1"/>
        <rFont val="Verdana"/>
        <family val="2"/>
      </rPr>
      <t>Mental health and wellbeing at work (101 views)</t>
    </r>
  </si>
  <si>
    <t>2. Mental health and wellbeing at work (19 views)</t>
  </si>
  <si>
    <t>2. Nature Connectedness - What employers can do (14 visits)</t>
  </si>
  <si>
    <t>2. Active, healthy and sustainable travel (16 vists)</t>
  </si>
  <si>
    <t>Mental health and wellbeing at work - The cost of poor mental health in the workplace (45 visits)</t>
  </si>
  <si>
    <t>Menopause support at work (29 views)</t>
  </si>
  <si>
    <t>Mental health and wellbeing at work (41 views)</t>
  </si>
  <si>
    <t>Sickness Absence Management (12 views)</t>
  </si>
  <si>
    <t>Mental health and wellbeing at work (68 views)</t>
  </si>
  <si>
    <t>Young employees - resources (28)</t>
  </si>
  <si>
    <t>Mental health and wellbeing at work (240 views)</t>
  </si>
  <si>
    <t>Mental health and wellbeing at work (20 views)</t>
  </si>
  <si>
    <t>Neurodiversity in the workplace (28)</t>
  </si>
  <si>
    <t>3. Sickness absence management – how to manage sickness absence (28 visits)</t>
  </si>
  <si>
    <t>3. Mental health and wellbeing at work – The cost of poor mental health at work (19 views)</t>
  </si>
  <si>
    <r>
      <t>3.</t>
    </r>
    <r>
      <rPr>
        <sz val="7"/>
        <color theme="1"/>
        <rFont val="Times New Roman"/>
        <family val="1"/>
      </rPr>
      <t xml:space="preserve">   </t>
    </r>
    <r>
      <rPr>
        <sz val="11"/>
        <color theme="1"/>
        <rFont val="Verdana"/>
        <family val="2"/>
      </rPr>
      <t>Active workplaces (51 views)</t>
    </r>
  </si>
  <si>
    <t>3. Mental health and wellbeing at work - The cost of poor mental helath at work</t>
  </si>
  <si>
    <t>3. Active, healthy and sustainable travel (11 visits)</t>
  </si>
  <si>
    <t>3. Menopause support at work (15 views)</t>
  </si>
  <si>
    <t>Nature connectedness - what employers can do (40 views)</t>
  </si>
  <si>
    <t>Flexible working (26 views)</t>
  </si>
  <si>
    <t>Neurodiversity in the workplace (11 views)</t>
  </si>
  <si>
    <t>Neurodiversity in the workplace (64 views)</t>
  </si>
  <si>
    <t>Sickness Absence Management (26 views)</t>
  </si>
  <si>
    <t>Mental health and wellbeing at work - The cost of poor mental health in the workplace (150 visits)</t>
  </si>
  <si>
    <t>Sickness absence management - causes of long term absences (13 views)</t>
  </si>
  <si>
    <t>Supporting employees with sight loss (18)</t>
  </si>
  <si>
    <t>4. Neurodiversity in the workplace – Benefits of neurodiversity in the workplace (21 views) (15 visits)</t>
  </si>
  <si>
    <t>4. Mental health and wellbeing at work – What employers can do (19 views)</t>
  </si>
  <si>
    <r>
      <t>4.</t>
    </r>
    <r>
      <rPr>
        <sz val="7"/>
        <color theme="1"/>
        <rFont val="Times New Roman"/>
        <family val="1"/>
      </rPr>
      <t xml:space="preserve">   </t>
    </r>
    <r>
      <rPr>
        <sz val="11"/>
        <color theme="1"/>
        <rFont val="Verdana"/>
        <family val="2"/>
      </rPr>
      <t>Neurodiversity in the workplace (40 views)</t>
    </r>
  </si>
  <si>
    <t>4. Active workplaces (14 views)</t>
  </si>
  <si>
    <t>4. Breastfeeding in the workplace (9 visits)</t>
  </si>
  <si>
    <t>4. Nature connectedness - what employers can do (15 views)</t>
  </si>
  <si>
    <t>Mental health and wellbeing at work (39 views)</t>
  </si>
  <si>
    <t>Menopause support - understanding symtoms (23 views)</t>
  </si>
  <si>
    <t>Sickness absence management - causes of long term absences (20 views)</t>
  </si>
  <si>
    <t>Equality diversity and inclusion (10 views)</t>
  </si>
  <si>
    <t>Menopause support at work (42 views)</t>
  </si>
  <si>
    <t>Mental health and wellbeing at work (21 views)</t>
  </si>
  <si>
    <t>Neurodiversity in the workplace (126 views)</t>
  </si>
  <si>
    <t>Menopause support at work (11 views)</t>
  </si>
  <si>
    <t>ADHD - what employers can do (16)</t>
  </si>
  <si>
    <t>5. Sickness absence management – causes of long term sickness absence (18 visits)</t>
  </si>
  <si>
    <t>5. Sickness absence management – how to manage sickness absence (18 visits)</t>
  </si>
  <si>
    <t>Stress management in the workplace (40 views)</t>
  </si>
  <si>
    <t>5. Nature connectedness (14 views)</t>
  </si>
  <si>
    <t>5. Healthy eating in the workplae - Challenges to healthy eating in the workplace (9 visits)</t>
  </si>
  <si>
    <t>5. Mental health and wellbeing at work (14 views)</t>
  </si>
  <si>
    <t>Menopause support at work (35 views)</t>
  </si>
  <si>
    <t>Infection prevention and control - what employers can do (22 views)</t>
  </si>
  <si>
    <t>Sickness absence management - promoting health and wellbeing in the workplace (17 views)</t>
  </si>
  <si>
    <t>Active workplaces (8 views)</t>
  </si>
  <si>
    <t>Sickness absence management - Promoting health and wellbeing in the workplace (36 views)</t>
  </si>
  <si>
    <t>Active workplaces (15 views)</t>
  </si>
  <si>
    <t>Active workplaces (125 views)</t>
  </si>
  <si>
    <t>Neurodiversity in the workplace (10 views)</t>
  </si>
  <si>
    <t>Mental health and wellbeing (14)</t>
  </si>
  <si>
    <t>6. Active workplaces (17 visits)</t>
  </si>
  <si>
    <t>6. Sickness absence management – Promoting health and wellbeing in the workplace (15 views)</t>
  </si>
  <si>
    <t>6. Mental health and wellbeing at work - Wha employers can do (13 views)</t>
  </si>
  <si>
    <t>6. Sickness Absence Management (8 visits)</t>
  </si>
  <si>
    <t>6. Nature connectedness (14 views)</t>
  </si>
  <si>
    <t>Sickness absence management (34 views)</t>
  </si>
  <si>
    <t>Mental health and wellbeing - cost of poor mental healht (21 views)</t>
  </si>
  <si>
    <t>Infection prevention and control - benefits (13 views)</t>
  </si>
  <si>
    <t>Conflict management (7 views)</t>
  </si>
  <si>
    <t>Mental health and wellbeing at work - The cost of poor mental health in the workplace (35 visits)</t>
  </si>
  <si>
    <t>Healthy Eating (13 views)</t>
  </si>
  <si>
    <t>Sickness absence management - causes of long term absences (123 views)</t>
  </si>
  <si>
    <t>Sickness absence management - Promoting health and wellbeing in the workplace (10 views)</t>
  </si>
  <si>
    <t>Sickness Absence Management (14)</t>
  </si>
  <si>
    <t>7. Mental health and wellbeing at work – The cost of poor mental health at work (17 views)</t>
  </si>
  <si>
    <t>7. Sickness absence management – Causes of long term sickness absence (16 views)</t>
  </si>
  <si>
    <t>7. Sickness absence management (13 views)</t>
  </si>
  <si>
    <t>7. Burnout and fatigue in the workplace (7 visits)</t>
  </si>
  <si>
    <t>7. Sickness Absence management (13 views)</t>
  </si>
  <si>
    <t>Active workpaces (30 views)</t>
  </si>
  <si>
    <t>Communication in the workplace (20 views)</t>
  </si>
  <si>
    <t>Conflict management (12 views)</t>
  </si>
  <si>
    <t>Mental health and wellbeing (7 views)</t>
  </si>
  <si>
    <t>Mental health and wellbeing at work - What employers can do (34 views)</t>
  </si>
  <si>
    <t>Sickness absence management - Promoting health and wellbeing in the workplace (12 views)</t>
  </si>
  <si>
    <t>Sickness absence management - Promoting health and wellbeing in the workplace (118 views)</t>
  </si>
  <si>
    <t>Young employees in the workplace - resources (10 views)</t>
  </si>
  <si>
    <t>Conflict management (13)</t>
  </si>
  <si>
    <t>8. Sickness absence management – Promoting health and wellbeing in the workplace (15 views)</t>
  </si>
  <si>
    <t>8. Stress management in the workplace (15 views)</t>
  </si>
  <si>
    <t>8. Nature connectedness - What employers can do (11 views)</t>
  </si>
  <si>
    <t>8. Healthy eating in the workplace - what employers can do (7 visits)</t>
  </si>
  <si>
    <t>8. Flexible working (11 views)</t>
  </si>
  <si>
    <t>Active, healthy and sustainable travel (27 views)</t>
  </si>
  <si>
    <t>Menopause suport - what employers can do (20 views)</t>
  </si>
  <si>
    <t>Conflict management - causes of conflict (12 views)</t>
  </si>
  <si>
    <t>Suicide support (7 views)</t>
  </si>
  <si>
    <t>Sickness absence management - Causes of long-term sickness absnece (33 views)</t>
  </si>
  <si>
    <t>Sickness absence management - Causes of long-term sickness absence (11 views)</t>
  </si>
  <si>
    <t>Sickness absence management - what employers can do (112 views)</t>
  </si>
  <si>
    <t>Health and safety in the workplace - the importance of health and safety (9 views)</t>
  </si>
  <si>
    <t>Health and safety - the importance of heath and safety in the workplace (11)</t>
  </si>
  <si>
    <t>9. Health and safety in the workplace</t>
  </si>
  <si>
    <t>9. Sickness absence management – Helping employees return to work (11 views)</t>
  </si>
  <si>
    <t>9. Nature connectedness - What is nature connectedness</t>
  </si>
  <si>
    <t>9. Mental health and wellbeing at work – The cost of poor mental health at work (7 views)</t>
  </si>
  <si>
    <t>9. Active workplaces (10 views)</t>
  </si>
  <si>
    <t>Sickness abseince management - causes of long term sickness abssence (21 views)</t>
  </si>
  <si>
    <t>Mental helath and wellbeing support (20 views)</t>
  </si>
  <si>
    <t>Diabetes support for employees (12 views)</t>
  </si>
  <si>
    <t>Suicide support - opportunities to provide support (7 views)</t>
  </si>
  <si>
    <t>Flexible working (32 views)</t>
  </si>
  <si>
    <t>Sickness absence management - how to manage sickness absence (11 views)</t>
  </si>
  <si>
    <t>Menopause suport (93 views)</t>
  </si>
  <si>
    <t>Conflict management - spotting signs of conflict (8 views)</t>
  </si>
  <si>
    <t>Menopause support (10)</t>
  </si>
  <si>
    <t>10. Healthy eating in the workplace – What employers can do (15 views)</t>
  </si>
  <si>
    <t>10. Infection prevention and control in the workplace (10 views)</t>
  </si>
  <si>
    <t>10. Addictive behaviours in the workplace (9 views)</t>
  </si>
  <si>
    <t>10. Active workplaces (6 views)</t>
  </si>
  <si>
    <t>10. Breastfeeding support in the workplace (9 views)</t>
  </si>
  <si>
    <t>Mental health and wellbeing at work - what employers can do (20 views)</t>
  </si>
  <si>
    <t>Sickness absence management - helping employees return to work (17 views)</t>
  </si>
  <si>
    <t>Healthy eating in the workplace (12 views)</t>
  </si>
  <si>
    <t>Menopause support at work (6 views)</t>
  </si>
  <si>
    <t>Communication in the wrokpalce (31 views)</t>
  </si>
  <si>
    <t>Cold weather advice for workplaces (10 views)</t>
  </si>
  <si>
    <t>Stress management (88 views)</t>
  </si>
  <si>
    <t>Young employees in the workplace (8 views)</t>
  </si>
  <si>
    <t>Active workpalces (9)</t>
  </si>
  <si>
    <t>Financial year</t>
  </si>
  <si>
    <r>
      <t xml:space="preserve">Followers </t>
    </r>
    <r>
      <rPr>
        <sz val="11"/>
        <color rgb="FF000000"/>
        <rFont val="Aptos Narrow"/>
        <family val="2"/>
        <scheme val="minor"/>
      </rPr>
      <t>(Eng / Welsh page numbers combined)</t>
    </r>
  </si>
  <si>
    <t>X</t>
  </si>
  <si>
    <t>Total</t>
  </si>
  <si>
    <t xml:space="preserve">Post engagement </t>
  </si>
  <si>
    <t>ENG: 12.66% / CY:</t>
  </si>
  <si>
    <t>ENG:</t>
  </si>
  <si>
    <t>ENG:
6.76%
CYM:
0%</t>
  </si>
  <si>
    <t>ENG:
8.22%
CYM:
50%</t>
  </si>
  <si>
    <t>CY:</t>
  </si>
  <si>
    <t>ENG:
1.48%
CYM:
0%</t>
  </si>
  <si>
    <t>ENG:
2.13%
CYM:
 0%</t>
  </si>
  <si>
    <t xml:space="preserve">Post reach </t>
  </si>
  <si>
    <t xml:space="preserve">Post impressions </t>
  </si>
  <si>
    <t xml:space="preserve">Page reach </t>
  </si>
  <si>
    <t xml:space="preserve">Page impressions </t>
  </si>
  <si>
    <t>CY: 256</t>
  </si>
  <si>
    <t>Q3 report</t>
  </si>
  <si>
    <t>Q4 report</t>
  </si>
  <si>
    <t>Row Labels</t>
  </si>
  <si>
    <t>Count of Size</t>
  </si>
  <si>
    <t>Grand Total</t>
  </si>
  <si>
    <t>Count of Sector</t>
  </si>
  <si>
    <t>Cumulative total YTD</t>
  </si>
  <si>
    <t>Percentage</t>
  </si>
  <si>
    <t>November</t>
  </si>
  <si>
    <t>December</t>
  </si>
  <si>
    <t>January</t>
  </si>
  <si>
    <t>February</t>
  </si>
  <si>
    <t>March</t>
  </si>
  <si>
    <t>Registered accounts</t>
  </si>
  <si>
    <t>Number of employees</t>
  </si>
  <si>
    <t>250 - 999</t>
  </si>
  <si>
    <t>100 - 249</t>
  </si>
  <si>
    <t>50 - 99</t>
  </si>
  <si>
    <t>20 - 49</t>
  </si>
  <si>
    <t>10 - 19</t>
  </si>
  <si>
    <t>1 - 10</t>
  </si>
  <si>
    <t>Account sign-ups</t>
  </si>
  <si>
    <t>WAS sessions held</t>
  </si>
  <si>
    <t>April</t>
  </si>
  <si>
    <t>May</t>
  </si>
  <si>
    <t>June</t>
  </si>
  <si>
    <t>July</t>
  </si>
  <si>
    <t>August</t>
  </si>
  <si>
    <t>September</t>
  </si>
  <si>
    <t>October</t>
  </si>
  <si>
    <t>Sent</t>
  </si>
  <si>
    <t>Open rate</t>
  </si>
  <si>
    <t>Click rate</t>
  </si>
  <si>
    <t>Largest share</t>
  </si>
  <si>
    <t>9% - financial wellbeing webinar</t>
  </si>
  <si>
    <t>14% - First steps</t>
  </si>
  <si>
    <t>6% - Anxiety in the workplace</t>
  </si>
  <si>
    <t>12% - Workplace nature wellbeing calendar</t>
  </si>
  <si>
    <t>11% - recognition badges/young people/breastfeeding support</t>
  </si>
  <si>
    <t>Unsubscribe</t>
  </si>
  <si>
    <t>Bounces</t>
  </si>
  <si>
    <t>Org 1</t>
  </si>
  <si>
    <t>Org 2</t>
  </si>
  <si>
    <t>Org 3</t>
  </si>
  <si>
    <t>Org 4</t>
  </si>
  <si>
    <t>Org 5</t>
  </si>
  <si>
    <t>Org 6</t>
  </si>
  <si>
    <t>Org 7</t>
  </si>
  <si>
    <t>Org 8</t>
  </si>
  <si>
    <t>Org 9</t>
  </si>
  <si>
    <t>Org 11</t>
  </si>
  <si>
    <t>Org 12</t>
  </si>
  <si>
    <t>Org 13</t>
  </si>
  <si>
    <t>Org 14</t>
  </si>
  <si>
    <t>Org 15</t>
  </si>
  <si>
    <t>Org 16</t>
  </si>
  <si>
    <t>Org 17</t>
  </si>
  <si>
    <t>Org 18</t>
  </si>
  <si>
    <t>Org 19</t>
  </si>
  <si>
    <t>Org 20</t>
  </si>
  <si>
    <t>Org 21</t>
  </si>
  <si>
    <t>Org 22</t>
  </si>
  <si>
    <t>Org 23</t>
  </si>
  <si>
    <t>Org 24</t>
  </si>
  <si>
    <t>Org 25</t>
  </si>
  <si>
    <t>Org 26</t>
  </si>
  <si>
    <t>Org 27</t>
  </si>
  <si>
    <t>Org 28</t>
  </si>
  <si>
    <t>Org 29</t>
  </si>
  <si>
    <t>Org 30</t>
  </si>
  <si>
    <t>Org 31</t>
  </si>
  <si>
    <t>Org 32</t>
  </si>
  <si>
    <t>Org 33</t>
  </si>
  <si>
    <t>Org 34</t>
  </si>
  <si>
    <t>Org 35</t>
  </si>
  <si>
    <t>Org 36</t>
  </si>
  <si>
    <t>Org 37</t>
  </si>
  <si>
    <t>Org 38</t>
  </si>
  <si>
    <t>Org 39</t>
  </si>
  <si>
    <t>Org 40</t>
  </si>
  <si>
    <t>Org 41</t>
  </si>
  <si>
    <t>Org 42</t>
  </si>
  <si>
    <t>Org 43</t>
  </si>
  <si>
    <t>Org 44</t>
  </si>
  <si>
    <t>Org 45</t>
  </si>
  <si>
    <t>Org 46</t>
  </si>
  <si>
    <t>Org 47</t>
  </si>
  <si>
    <t>Org 48</t>
  </si>
  <si>
    <t>Org 49</t>
  </si>
  <si>
    <t>Org 50</t>
  </si>
  <si>
    <t>Org 51</t>
  </si>
  <si>
    <t xml:space="preserve">
Org 52</t>
  </si>
  <si>
    <t>Org 53</t>
  </si>
  <si>
    <t>Org 54</t>
  </si>
  <si>
    <t>Org 55</t>
  </si>
  <si>
    <t>Org 56</t>
  </si>
  <si>
    <t>Org 57</t>
  </si>
  <si>
    <t>Org 58</t>
  </si>
  <si>
    <t>Org 59</t>
  </si>
  <si>
    <t>Org 60</t>
  </si>
  <si>
    <t>Org 61</t>
  </si>
  <si>
    <t>Org 62</t>
  </si>
  <si>
    <t>Org 63</t>
  </si>
  <si>
    <t>Org 64</t>
  </si>
  <si>
    <t>Org 65</t>
  </si>
  <si>
    <t>Org 66</t>
  </si>
  <si>
    <t>Org 67</t>
  </si>
  <si>
    <t>Org 68</t>
  </si>
  <si>
    <t>Org 69</t>
  </si>
  <si>
    <t>Org 70</t>
  </si>
  <si>
    <t>Org 71</t>
  </si>
  <si>
    <t>Org 72</t>
  </si>
  <si>
    <t>Org 73</t>
  </si>
  <si>
    <t>Org 74</t>
  </si>
  <si>
    <t>Org 75</t>
  </si>
  <si>
    <t>Org 76</t>
  </si>
  <si>
    <t>Org 77</t>
  </si>
  <si>
    <t>Org 78</t>
  </si>
  <si>
    <t>Org 79</t>
  </si>
  <si>
    <t>Org 80</t>
  </si>
  <si>
    <t xml:space="preserve">
Org 80</t>
  </si>
  <si>
    <t>Org 81</t>
  </si>
  <si>
    <t>Org 82</t>
  </si>
  <si>
    <t>Org 83</t>
  </si>
  <si>
    <t>Org 84</t>
  </si>
  <si>
    <t>Org 85</t>
  </si>
  <si>
    <t>Org 86</t>
  </si>
  <si>
    <t>Org 87</t>
  </si>
  <si>
    <t>Org 88</t>
  </si>
  <si>
    <t>Org 89</t>
  </si>
  <si>
    <t>Org 90</t>
  </si>
  <si>
    <t>Org 91</t>
  </si>
  <si>
    <t>Org 92</t>
  </si>
  <si>
    <t>Org 93</t>
  </si>
  <si>
    <t>Org 94</t>
  </si>
  <si>
    <t>Org 95</t>
  </si>
  <si>
    <t>Org 96</t>
  </si>
  <si>
    <t>Org 97</t>
  </si>
  <si>
    <t>Org 98</t>
  </si>
  <si>
    <t>Org 99</t>
  </si>
  <si>
    <t>Org 100</t>
  </si>
  <si>
    <t>Org 101</t>
  </si>
  <si>
    <t>Org 102</t>
  </si>
  <si>
    <t>Org 103</t>
  </si>
  <si>
    <t>Org 104</t>
  </si>
  <si>
    <t>Org 105</t>
  </si>
  <si>
    <t>Org 106</t>
  </si>
  <si>
    <t>Org 107</t>
  </si>
  <si>
    <t>Org 108</t>
  </si>
  <si>
    <t>Org 109</t>
  </si>
  <si>
    <t>Org 110</t>
  </si>
  <si>
    <t>Org 111</t>
  </si>
  <si>
    <t>Org 112</t>
  </si>
  <si>
    <t>Org 113</t>
  </si>
  <si>
    <t>Org 114</t>
  </si>
  <si>
    <t>Org 115</t>
  </si>
  <si>
    <t>Org 116</t>
  </si>
  <si>
    <t>Org 117</t>
  </si>
  <si>
    <t>Org 118</t>
  </si>
  <si>
    <t>Org 119</t>
  </si>
  <si>
    <t>Org 120</t>
  </si>
  <si>
    <t>Org 121</t>
  </si>
  <si>
    <t>Org 122</t>
  </si>
  <si>
    <t>Org 123</t>
  </si>
  <si>
    <t>Org 124</t>
  </si>
  <si>
    <t>Org 125</t>
  </si>
  <si>
    <t>Org 126</t>
  </si>
  <si>
    <t>Org 127</t>
  </si>
  <si>
    <t>Org 128</t>
  </si>
  <si>
    <t>Org 129</t>
  </si>
  <si>
    <t>Org 130</t>
  </si>
  <si>
    <t>Org 131</t>
  </si>
  <si>
    <t>Org 132</t>
  </si>
  <si>
    <t>Org 133</t>
  </si>
  <si>
    <t>Org 134</t>
  </si>
  <si>
    <t>Org 135</t>
  </si>
  <si>
    <t>Org 136</t>
  </si>
  <si>
    <t>Org 137</t>
  </si>
  <si>
    <t>Org 138</t>
  </si>
  <si>
    <t>Org 139</t>
  </si>
  <si>
    <t>Org 140</t>
  </si>
  <si>
    <t>Org 141</t>
  </si>
  <si>
    <t>Org 142</t>
  </si>
  <si>
    <t>Org 143</t>
  </si>
  <si>
    <t>Org 144</t>
  </si>
  <si>
    <t>Org 145</t>
  </si>
  <si>
    <t>Org 146</t>
  </si>
  <si>
    <t>Org 147</t>
  </si>
  <si>
    <t>Org 148</t>
  </si>
  <si>
    <t>Org 149</t>
  </si>
  <si>
    <t>Org 150</t>
  </si>
  <si>
    <t>Org 151</t>
  </si>
  <si>
    <t>Org 152</t>
  </si>
  <si>
    <t>Org 153</t>
  </si>
  <si>
    <t>Org 154</t>
  </si>
  <si>
    <t>Org 155</t>
  </si>
  <si>
    <t>Org 156</t>
  </si>
  <si>
    <t>Org 157</t>
  </si>
  <si>
    <t>Org 158</t>
  </si>
  <si>
    <t>Org 159</t>
  </si>
  <si>
    <t>Org 160</t>
  </si>
  <si>
    <t>Org 161</t>
  </si>
  <si>
    <t>Org 162</t>
  </si>
  <si>
    <t>Org 163</t>
  </si>
  <si>
    <t>Org 164</t>
  </si>
  <si>
    <t>Org 165</t>
  </si>
  <si>
    <t>Org 166</t>
  </si>
  <si>
    <t>Org 167</t>
  </si>
  <si>
    <t>Org 168</t>
  </si>
  <si>
    <t>name@email.com</t>
  </si>
  <si>
    <t>name1@email.com</t>
  </si>
  <si>
    <t>name2@email.com</t>
  </si>
  <si>
    <t>name3@email.com</t>
  </si>
  <si>
    <t>name4@email.com</t>
  </si>
  <si>
    <t>name5@email.com</t>
  </si>
  <si>
    <t>name6@email.com</t>
  </si>
  <si>
    <t>name7@email.com</t>
  </si>
  <si>
    <t>name8@email.com</t>
  </si>
  <si>
    <t>name9@email.com</t>
  </si>
  <si>
    <t>name10@email.com</t>
  </si>
  <si>
    <t>name11@email.com</t>
  </si>
  <si>
    <t>name12@email.com</t>
  </si>
  <si>
    <t>name13@email.com</t>
  </si>
  <si>
    <t>othername@outlook.com</t>
  </si>
  <si>
    <t>name14@email.com</t>
  </si>
  <si>
    <t>name15@email.com</t>
  </si>
  <si>
    <t>ENG:
1000
CYM:
1000</t>
  </si>
  <si>
    <t>ENG:
2100
CYM:
2100</t>
  </si>
  <si>
    <t xml:space="preserve">ENG:
310000
CYM:
290000
</t>
  </si>
  <si>
    <t>ENG:
2000
CYM:
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</si>
</sst>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rgb="FF212B32"/>
      <name val="Aptos Narrow"/>
      <family val="2"/>
    </font>
    <font>
      <sz val="11"/>
      <color rgb="FF000000"/>
      <name val="Aptos Narrow"/>
      <family val="2"/>
      <scheme val="minor"/>
    </font>
    <font>
      <b/>
      <sz val="11"/>
      <color rgb="FF000000"/>
      <name val="Aptos Narrow"/>
      <family val="2"/>
      <scheme val="minor"/>
    </font>
    <font>
      <sz val="11"/>
      <color rgb="FF000000"/>
      <name val="Aptos Narrow"/>
      <family val="2"/>
    </font>
    <font>
      <b/>
      <sz val="11"/>
      <color rgb="FF000000"/>
      <name val="Aptos Narrow"/>
      <family val="2"/>
    </font>
    <font>
      <b/>
      <sz val="14"/>
      <color theme="1"/>
      <name val="Aptos Narrow"/>
      <family val="2"/>
      <scheme val="minor"/>
    </font>
    <font>
      <sz val="11"/>
      <color rgb="FF212B32"/>
      <name val="Aptos"/>
      <family val="2"/>
    </font>
    <font>
      <u/>
      <sz val="11"/>
      <color theme="10"/>
      <name val="Aptos Narrow"/>
      <family val="2"/>
      <scheme val="minor"/>
    </font>
    <font>
      <sz val="11"/>
      <color rgb="FF212B32"/>
      <name val="Arial Narrow"/>
      <family val="2"/>
    </font>
    <font>
      <sz val="11"/>
      <color theme="1"/>
      <name val="Aptos Narrow"/>
      <family val="2"/>
    </font>
    <font>
      <sz val="12"/>
      <color rgb="FF212B32"/>
      <name val="Aptos Narrow"/>
      <family val="2"/>
    </font>
    <font>
      <sz val="11"/>
      <color theme="1"/>
      <name val="Verdana"/>
      <family val="2"/>
    </font>
    <font>
      <sz val="7"/>
      <color theme="1"/>
      <name val="Times New Roman"/>
      <family val="1"/>
    </font>
    <font>
      <sz val="12"/>
      <color theme="1"/>
      <name val="Aptos Narrow"/>
      <family val="2"/>
      <scheme val="minor"/>
    </font>
    <font>
      <sz val="12"/>
      <color rgb="FF212B32"/>
      <name val="Aptos Narrow"/>
      <family val="2"/>
      <scheme val="minor"/>
    </font>
    <font>
      <sz val="9"/>
      <color indexed="81"/>
      <name val="Tahoma"/>
      <family val="2"/>
    </font>
    <font>
      <b/>
      <sz val="9"/>
      <color indexed="81"/>
      <name val="Tahoma"/>
      <family val="2"/>
    </font>
  </fonts>
  <fills count="14">
    <fill>
      <patternFill patternType="none"/>
    </fill>
    <fill>
      <patternFill patternType="gray125"/>
    </fill>
    <fill>
      <patternFill patternType="solid">
        <fgColor theme="9" tint="0.79998168889431442"/>
        <bgColor indexed="64"/>
      </patternFill>
    </fill>
    <fill>
      <patternFill patternType="solid">
        <fgColor rgb="FFC0E6F5"/>
        <bgColor rgb="FF000000"/>
      </patternFill>
    </fill>
    <fill>
      <patternFill patternType="solid">
        <fgColor rgb="FFC1F0C8"/>
        <bgColor rgb="FF000000"/>
      </patternFill>
    </fill>
    <fill>
      <patternFill patternType="solid">
        <fgColor rgb="FFDAF2D0"/>
        <bgColor rgb="FF000000"/>
      </patternFill>
    </fill>
    <fill>
      <patternFill patternType="solid">
        <fgColor rgb="FFCAEDFB"/>
        <bgColor rgb="FF000000"/>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rgb="FF000000"/>
      </patternFill>
    </fill>
    <fill>
      <patternFill patternType="solid">
        <fgColor theme="2" tint="-9.9978637043366805E-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4"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ck">
        <color auto="1"/>
      </top>
      <bottom style="thin">
        <color indexed="64"/>
      </bottom>
      <diagonal/>
    </border>
    <border>
      <left style="thin">
        <color indexed="64"/>
      </left>
      <right style="thin">
        <color indexed="64"/>
      </right>
      <top style="thick">
        <color auto="1"/>
      </top>
      <bottom/>
      <diagonal/>
    </border>
    <border>
      <left style="thin">
        <color indexed="64"/>
      </left>
      <right style="thin">
        <color indexed="64"/>
      </right>
      <top/>
      <bottom style="thick">
        <color auto="1"/>
      </bottom>
      <diagonal/>
    </border>
    <border>
      <left style="thin">
        <color indexed="64"/>
      </left>
      <right style="thin">
        <color indexed="64"/>
      </right>
      <top style="thin">
        <color indexed="64"/>
      </top>
      <bottom style="thick">
        <color auto="1"/>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00"/>
      </top>
      <bottom/>
      <diagonal/>
    </border>
    <border>
      <left/>
      <right style="thin">
        <color indexed="64"/>
      </right>
      <top/>
      <bottom/>
      <diagonal/>
    </border>
    <border>
      <left style="thin">
        <color indexed="64"/>
      </left>
      <right style="thin">
        <color indexed="64"/>
      </right>
      <top/>
      <bottom style="thin">
        <color rgb="FF000000"/>
      </bottom>
      <diagonal/>
    </border>
    <border>
      <left style="thin">
        <color rgb="FFC3C4C7"/>
      </left>
      <right style="thin">
        <color rgb="FFC3C4C7"/>
      </right>
      <top style="thin">
        <color rgb="FFC3C4C7"/>
      </top>
      <bottom style="thin">
        <color rgb="FFC3C4C7"/>
      </bottom>
      <diagonal/>
    </border>
    <border>
      <left style="thin">
        <color indexed="64"/>
      </left>
      <right style="thin">
        <color indexed="64"/>
      </right>
      <top style="medium">
        <color indexed="64"/>
      </top>
      <bottom/>
      <diagonal/>
    </border>
    <border>
      <left style="thin">
        <color rgb="FFC3C4C7"/>
      </left>
      <right style="thin">
        <color rgb="FFC3C4C7"/>
      </right>
      <top style="medium">
        <color indexed="64"/>
      </top>
      <bottom style="thin">
        <color rgb="FFC3C4C7"/>
      </bottom>
      <diagonal/>
    </border>
    <border>
      <left/>
      <right style="thin">
        <color indexed="64"/>
      </right>
      <top style="medium">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style="thick">
        <color indexed="64"/>
      </top>
      <bottom/>
      <diagonal/>
    </border>
    <border>
      <left/>
      <right style="thin">
        <color indexed="64"/>
      </right>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medium">
        <color indexed="64"/>
      </top>
      <bottom/>
      <diagonal/>
    </border>
    <border>
      <left style="thin">
        <color indexed="64"/>
      </left>
      <right style="thin">
        <color indexed="64"/>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0" fontId="11" fillId="0" borderId="0" applyNumberFormat="0" applyFill="0" applyBorder="0" applyAlignment="0" applyProtection="0"/>
  </cellStyleXfs>
  <cellXfs count="410">
    <xf numFmtId="0" fontId="0" fillId="0" borderId="0" xfId="0"/>
    <xf numFmtId="0" fontId="0" fillId="0" borderId="0" xfId="0" applyAlignment="1">
      <alignment wrapText="1"/>
    </xf>
    <xf numFmtId="0" fontId="2" fillId="0" borderId="0" xfId="0" applyFont="1"/>
    <xf numFmtId="49" fontId="0" fillId="0" borderId="0" xfId="0" applyNumberFormat="1" applyAlignment="1">
      <alignment wrapText="1"/>
    </xf>
    <xf numFmtId="49" fontId="0" fillId="0" borderId="0" xfId="0" applyNumberFormat="1" applyAlignment="1">
      <alignment horizontal="left" wrapText="1"/>
    </xf>
    <xf numFmtId="0" fontId="0" fillId="0" borderId="1" xfId="0" applyBorder="1"/>
    <xf numFmtId="0" fontId="2" fillId="0" borderId="1" xfId="0" applyFont="1" applyBorder="1" applyAlignment="1">
      <alignment wrapText="1"/>
    </xf>
    <xf numFmtId="49" fontId="2" fillId="0" borderId="1" xfId="0" applyNumberFormat="1" applyFont="1" applyBorder="1" applyAlignment="1">
      <alignment wrapText="1"/>
    </xf>
    <xf numFmtId="49" fontId="2" fillId="0" borderId="1" xfId="0" applyNumberFormat="1" applyFont="1" applyBorder="1" applyAlignment="1">
      <alignment horizontal="left" wrapText="1"/>
    </xf>
    <xf numFmtId="0" fontId="0" fillId="0" borderId="1" xfId="0" applyBorder="1" applyAlignment="1">
      <alignment wrapText="1"/>
    </xf>
    <xf numFmtId="49" fontId="0" fillId="0" borderId="1" xfId="0" applyNumberFormat="1" applyBorder="1" applyAlignment="1">
      <alignment wrapText="1"/>
    </xf>
    <xf numFmtId="0" fontId="0" fillId="0" borderId="1" xfId="0" applyBorder="1" applyAlignment="1">
      <alignment horizontal="left" wrapText="1"/>
    </xf>
    <xf numFmtId="49" fontId="0" fillId="0" borderId="1" xfId="0" applyNumberFormat="1" applyBorder="1" applyAlignment="1">
      <alignment horizontal="left" wrapText="1"/>
    </xf>
    <xf numFmtId="0" fontId="4" fillId="0" borderId="1" xfId="0" applyFont="1" applyBorder="1" applyAlignment="1">
      <alignment wrapText="1"/>
    </xf>
    <xf numFmtId="0" fontId="0" fillId="2" borderId="1" xfId="0" applyFill="1" applyBorder="1"/>
    <xf numFmtId="0" fontId="5" fillId="0" borderId="0" xfId="0" applyFont="1"/>
    <xf numFmtId="0" fontId="5" fillId="0" borderId="0" xfId="0" applyFont="1" applyAlignment="1">
      <alignment wrapText="1"/>
    </xf>
    <xf numFmtId="164" fontId="0" fillId="0" borderId="0" xfId="0" applyNumberFormat="1" applyAlignment="1">
      <alignment wrapText="1"/>
    </xf>
    <xf numFmtId="9" fontId="0" fillId="0" borderId="0" xfId="1" applyFont="1" applyFill="1" applyAlignment="1">
      <alignment wrapText="1"/>
    </xf>
    <xf numFmtId="0" fontId="0" fillId="0" borderId="0" xfId="0" applyAlignment="1">
      <alignment vertical="center"/>
    </xf>
    <xf numFmtId="0" fontId="6" fillId="0" borderId="0" xfId="0" applyFont="1" applyAlignment="1">
      <alignment horizontal="center" wrapText="1"/>
    </xf>
    <xf numFmtId="0" fontId="5" fillId="0" borderId="0" xfId="0" applyFont="1" applyAlignment="1">
      <alignment horizontal="left"/>
    </xf>
    <xf numFmtId="17" fontId="6" fillId="3" borderId="2" xfId="0" applyNumberFormat="1" applyFont="1" applyFill="1" applyBorder="1" applyAlignment="1">
      <alignment horizontal="left" wrapText="1"/>
    </xf>
    <xf numFmtId="17" fontId="6" fillId="3" borderId="5" xfId="0" applyNumberFormat="1" applyFont="1" applyFill="1" applyBorder="1" applyAlignment="1">
      <alignment horizontal="left"/>
    </xf>
    <xf numFmtId="0" fontId="6" fillId="4" borderId="6" xfId="0" applyFont="1" applyFill="1" applyBorder="1" applyAlignment="1">
      <alignment horizontal="left"/>
    </xf>
    <xf numFmtId="17" fontId="6" fillId="3" borderId="7" xfId="0" applyNumberFormat="1" applyFont="1" applyFill="1" applyBorder="1" applyAlignment="1">
      <alignment horizontal="left" wrapText="1"/>
    </xf>
    <xf numFmtId="17" fontId="6" fillId="3" borderId="5" xfId="0" applyNumberFormat="1" applyFont="1" applyFill="1" applyBorder="1" applyAlignment="1">
      <alignment horizontal="left" wrapText="1"/>
    </xf>
    <xf numFmtId="0" fontId="6" fillId="5" borderId="9" xfId="0" applyFont="1" applyFill="1" applyBorder="1" applyAlignment="1">
      <alignment horizontal="left" wrapText="1"/>
    </xf>
    <xf numFmtId="17" fontId="6" fillId="3" borderId="8" xfId="0" applyNumberFormat="1" applyFont="1" applyFill="1" applyBorder="1" applyAlignment="1">
      <alignment horizontal="left"/>
    </xf>
    <xf numFmtId="17" fontId="6" fillId="3" borderId="9" xfId="0" applyNumberFormat="1" applyFont="1" applyFill="1" applyBorder="1" applyAlignment="1">
      <alignment horizontal="left"/>
    </xf>
    <xf numFmtId="0" fontId="6" fillId="5" borderId="8" xfId="0" applyFont="1" applyFill="1" applyBorder="1" applyAlignment="1">
      <alignment horizontal="left" wrapText="1"/>
    </xf>
    <xf numFmtId="0" fontId="5" fillId="0" borderId="8" xfId="0" applyFont="1" applyBorder="1" applyAlignment="1">
      <alignment horizontal="left"/>
    </xf>
    <xf numFmtId="0" fontId="5" fillId="5" borderId="8" xfId="0" applyFont="1" applyFill="1" applyBorder="1" applyAlignment="1">
      <alignment horizontal="left"/>
    </xf>
    <xf numFmtId="0" fontId="5" fillId="0" borderId="9" xfId="0" applyFont="1" applyBorder="1" applyAlignment="1">
      <alignment horizontal="left"/>
    </xf>
    <xf numFmtId="0" fontId="5" fillId="5" borderId="9" xfId="0" applyFont="1" applyFill="1" applyBorder="1" applyAlignment="1">
      <alignment horizontal="left"/>
    </xf>
    <xf numFmtId="17" fontId="6" fillId="3" borderId="6" xfId="0" applyNumberFormat="1" applyFont="1" applyFill="1" applyBorder="1" applyAlignment="1">
      <alignment horizontal="left"/>
    </xf>
    <xf numFmtId="0" fontId="6" fillId="5" borderId="6" xfId="0" applyFont="1" applyFill="1" applyBorder="1" applyAlignment="1">
      <alignment horizontal="left" wrapText="1"/>
    </xf>
    <xf numFmtId="0" fontId="5" fillId="0" borderId="14" xfId="0" applyFont="1" applyBorder="1" applyAlignment="1">
      <alignment horizontal="left"/>
    </xf>
    <xf numFmtId="10" fontId="5" fillId="0" borderId="8" xfId="0" applyNumberFormat="1" applyFont="1" applyBorder="1" applyAlignment="1">
      <alignment horizontal="left"/>
    </xf>
    <xf numFmtId="10" fontId="5" fillId="5" borderId="8" xfId="0" applyNumberFormat="1" applyFont="1" applyFill="1" applyBorder="1" applyAlignment="1">
      <alignment horizontal="left"/>
    </xf>
    <xf numFmtId="10" fontId="5" fillId="0" borderId="10" xfId="0" applyNumberFormat="1" applyFont="1" applyBorder="1" applyAlignment="1">
      <alignment horizontal="left"/>
    </xf>
    <xf numFmtId="10" fontId="5" fillId="5" borderId="10" xfId="0" applyNumberFormat="1" applyFont="1" applyFill="1" applyBorder="1" applyAlignment="1">
      <alignment horizontal="left"/>
    </xf>
    <xf numFmtId="10" fontId="5" fillId="0" borderId="9" xfId="0" applyNumberFormat="1" applyFont="1" applyBorder="1" applyAlignment="1">
      <alignment horizontal="left"/>
    </xf>
    <xf numFmtId="0" fontId="5" fillId="0" borderId="9" xfId="0" applyFont="1" applyBorder="1" applyAlignment="1">
      <alignment horizontal="left" wrapText="1"/>
    </xf>
    <xf numFmtId="0" fontId="5" fillId="5" borderId="6" xfId="0" applyFont="1" applyFill="1" applyBorder="1" applyAlignment="1">
      <alignment horizontal="left" wrapText="1"/>
    </xf>
    <xf numFmtId="0" fontId="5" fillId="0" borderId="12" xfId="0" applyFont="1" applyBorder="1" applyAlignment="1">
      <alignment horizontal="left" wrapText="1"/>
    </xf>
    <xf numFmtId="0" fontId="5" fillId="5" borderId="12" xfId="0" applyFont="1" applyFill="1" applyBorder="1" applyAlignment="1">
      <alignment horizontal="left" wrapText="1"/>
    </xf>
    <xf numFmtId="0" fontId="5" fillId="0" borderId="17" xfId="0" applyFont="1" applyBorder="1" applyAlignment="1">
      <alignment horizontal="left" wrapText="1"/>
    </xf>
    <xf numFmtId="0" fontId="5" fillId="0" borderId="6" xfId="0" applyFont="1" applyBorder="1" applyAlignment="1">
      <alignment horizontal="left" wrapText="1"/>
    </xf>
    <xf numFmtId="9" fontId="5" fillId="0" borderId="12" xfId="0" applyNumberFormat="1" applyFont="1" applyBorder="1" applyAlignment="1">
      <alignment horizontal="left" wrapText="1"/>
    </xf>
    <xf numFmtId="10" fontId="5" fillId="0" borderId="12" xfId="0" applyNumberFormat="1" applyFont="1" applyBorder="1" applyAlignment="1">
      <alignment horizontal="left" wrapText="1"/>
    </xf>
    <xf numFmtId="10" fontId="5" fillId="5" borderId="12" xfId="0" applyNumberFormat="1" applyFont="1" applyFill="1" applyBorder="1" applyAlignment="1">
      <alignment horizontal="left" wrapText="1"/>
    </xf>
    <xf numFmtId="10" fontId="5" fillId="0" borderId="17" xfId="0" applyNumberFormat="1" applyFont="1" applyBorder="1" applyAlignment="1">
      <alignment horizontal="left" wrapText="1"/>
    </xf>
    <xf numFmtId="9" fontId="5" fillId="5" borderId="12" xfId="0" applyNumberFormat="1" applyFont="1" applyFill="1" applyBorder="1" applyAlignment="1">
      <alignment horizontal="left" wrapText="1"/>
    </xf>
    <xf numFmtId="9" fontId="5" fillId="0" borderId="17" xfId="0" applyNumberFormat="1" applyFont="1" applyBorder="1" applyAlignment="1">
      <alignment horizontal="left" wrapText="1"/>
    </xf>
    <xf numFmtId="9" fontId="5" fillId="5" borderId="13" xfId="0" applyNumberFormat="1" applyFont="1" applyFill="1" applyBorder="1" applyAlignment="1">
      <alignment horizontal="left" wrapText="1"/>
    </xf>
    <xf numFmtId="10" fontId="5" fillId="0" borderId="13" xfId="0" applyNumberFormat="1" applyFont="1" applyBorder="1" applyAlignment="1">
      <alignment horizontal="left" wrapText="1"/>
    </xf>
    <xf numFmtId="9" fontId="5" fillId="0" borderId="13" xfId="0" applyNumberFormat="1" applyFont="1" applyBorder="1" applyAlignment="1">
      <alignment horizontal="left" wrapText="1"/>
    </xf>
    <xf numFmtId="10" fontId="5" fillId="5" borderId="13" xfId="0" applyNumberFormat="1" applyFont="1" applyFill="1" applyBorder="1" applyAlignment="1">
      <alignment horizontal="left" wrapText="1"/>
    </xf>
    <xf numFmtId="0" fontId="5" fillId="5" borderId="10" xfId="0" applyFont="1" applyFill="1" applyBorder="1" applyAlignment="1">
      <alignment horizontal="left" wrapText="1"/>
    </xf>
    <xf numFmtId="0" fontId="5" fillId="0" borderId="10" xfId="0" applyFont="1" applyBorder="1" applyAlignment="1">
      <alignment horizontal="left" wrapText="1"/>
    </xf>
    <xf numFmtId="10" fontId="5" fillId="5" borderId="17" xfId="0" applyNumberFormat="1" applyFont="1" applyFill="1" applyBorder="1" applyAlignment="1">
      <alignment horizontal="left" wrapText="1"/>
    </xf>
    <xf numFmtId="0" fontId="5" fillId="5" borderId="17" xfId="0" applyFont="1" applyFill="1" applyBorder="1" applyAlignment="1">
      <alignment horizontal="left" wrapText="1"/>
    </xf>
    <xf numFmtId="10" fontId="5" fillId="5" borderId="11" xfId="0" applyNumberFormat="1" applyFont="1" applyFill="1" applyBorder="1" applyAlignment="1">
      <alignment horizontal="left" wrapText="1"/>
    </xf>
    <xf numFmtId="0" fontId="5" fillId="0" borderId="0" xfId="0" applyFont="1" applyAlignment="1">
      <alignment horizontal="left" wrapText="1"/>
    </xf>
    <xf numFmtId="0" fontId="5" fillId="0" borderId="17" xfId="0" applyFont="1" applyBorder="1" applyAlignment="1">
      <alignment horizontal="left"/>
    </xf>
    <xf numFmtId="17" fontId="6" fillId="3" borderId="18" xfId="0" applyNumberFormat="1" applyFont="1" applyFill="1" applyBorder="1" applyAlignment="1">
      <alignment horizontal="left" wrapText="1"/>
    </xf>
    <xf numFmtId="0" fontId="5" fillId="0" borderId="6" xfId="0" applyFont="1" applyBorder="1" applyAlignment="1">
      <alignment horizontal="left"/>
    </xf>
    <xf numFmtId="0" fontId="5" fillId="5" borderId="10" xfId="0" applyFont="1" applyFill="1" applyBorder="1" applyAlignment="1">
      <alignment horizontal="left"/>
    </xf>
    <xf numFmtId="0" fontId="5" fillId="5" borderId="13" xfId="0" applyFont="1" applyFill="1" applyBorder="1" applyAlignment="1">
      <alignment horizontal="left" wrapText="1"/>
    </xf>
    <xf numFmtId="0" fontId="5" fillId="0" borderId="13" xfId="0" applyFont="1" applyBorder="1" applyAlignment="1">
      <alignment horizontal="left" wrapText="1"/>
    </xf>
    <xf numFmtId="0" fontId="5" fillId="0" borderId="8" xfId="0" applyFont="1" applyBorder="1" applyAlignment="1">
      <alignment horizontal="left" wrapText="1"/>
    </xf>
    <xf numFmtId="0" fontId="5" fillId="5" borderId="9" xfId="0" applyFont="1" applyFill="1" applyBorder="1" applyAlignment="1">
      <alignment horizontal="left" wrapText="1"/>
    </xf>
    <xf numFmtId="0" fontId="5" fillId="5" borderId="11" xfId="0" applyFont="1" applyFill="1" applyBorder="1" applyAlignment="1">
      <alignment horizontal="left" wrapText="1"/>
    </xf>
    <xf numFmtId="0" fontId="5" fillId="5" borderId="8" xfId="0" applyFont="1" applyFill="1" applyBorder="1" applyAlignment="1">
      <alignment horizontal="left" wrapText="1"/>
    </xf>
    <xf numFmtId="0" fontId="5" fillId="0" borderId="10" xfId="0" applyFont="1" applyBorder="1" applyAlignment="1">
      <alignment horizontal="left"/>
    </xf>
    <xf numFmtId="0" fontId="5" fillId="5" borderId="15" xfId="0" applyFont="1" applyFill="1" applyBorder="1" applyAlignment="1">
      <alignment horizontal="left" wrapText="1"/>
    </xf>
    <xf numFmtId="0" fontId="5" fillId="5" borderId="0" xfId="0" applyFont="1" applyFill="1" applyAlignment="1">
      <alignment horizontal="left" wrapText="1"/>
    </xf>
    <xf numFmtId="0" fontId="5" fillId="0" borderId="11" xfId="0" applyFont="1" applyBorder="1" applyAlignment="1">
      <alignment horizontal="left" wrapText="1"/>
    </xf>
    <xf numFmtId="0" fontId="5" fillId="5" borderId="16" xfId="0" applyFont="1" applyFill="1" applyBorder="1" applyAlignment="1">
      <alignment horizontal="left" wrapText="1"/>
    </xf>
    <xf numFmtId="0" fontId="5" fillId="0" borderId="1" xfId="0" applyFont="1" applyBorder="1" applyAlignment="1">
      <alignment wrapText="1"/>
    </xf>
    <xf numFmtId="0" fontId="5" fillId="0" borderId="1" xfId="0" applyFont="1" applyBorder="1"/>
    <xf numFmtId="9" fontId="0" fillId="0" borderId="0" xfId="1" applyFont="1" applyFill="1" applyBorder="1" applyAlignment="1">
      <alignment wrapText="1"/>
    </xf>
    <xf numFmtId="0" fontId="5" fillId="0" borderId="1" xfId="0" applyFont="1" applyBorder="1" applyAlignment="1">
      <alignment horizontal="left" vertical="center" wrapText="1"/>
    </xf>
    <xf numFmtId="0" fontId="0" fillId="10" borderId="1" xfId="0" applyFill="1" applyBorder="1" applyAlignment="1">
      <alignment wrapText="1"/>
    </xf>
    <xf numFmtId="17" fontId="6" fillId="3" borderId="2" xfId="0" applyNumberFormat="1" applyFont="1" applyFill="1" applyBorder="1" applyAlignment="1">
      <alignment wrapText="1"/>
    </xf>
    <xf numFmtId="0" fontId="6" fillId="9" borderId="2" xfId="0" applyFont="1" applyFill="1" applyBorder="1" applyAlignment="1">
      <alignment wrapText="1"/>
    </xf>
    <xf numFmtId="17" fontId="6" fillId="6" borderId="2" xfId="0" applyNumberFormat="1" applyFont="1" applyFill="1" applyBorder="1" applyAlignment="1">
      <alignment wrapText="1"/>
    </xf>
    <xf numFmtId="17" fontId="2" fillId="7" borderId="2" xfId="0" applyNumberFormat="1" applyFont="1" applyFill="1" applyBorder="1" applyAlignment="1">
      <alignment wrapText="1"/>
    </xf>
    <xf numFmtId="0" fontId="2" fillId="0" borderId="1" xfId="0" applyFont="1" applyBorder="1"/>
    <xf numFmtId="9" fontId="0" fillId="8" borderId="1" xfId="0" applyNumberFormat="1" applyFill="1" applyBorder="1" applyAlignment="1">
      <alignment wrapText="1"/>
    </xf>
    <xf numFmtId="9" fontId="0" fillId="8" borderId="1" xfId="1" applyFont="1" applyFill="1" applyBorder="1" applyAlignment="1">
      <alignment wrapText="1"/>
    </xf>
    <xf numFmtId="9" fontId="0" fillId="2" borderId="1" xfId="1" applyFont="1" applyFill="1" applyBorder="1" applyAlignment="1">
      <alignment wrapText="1"/>
    </xf>
    <xf numFmtId="9" fontId="0" fillId="0" borderId="1" xfId="1" applyFont="1" applyBorder="1" applyAlignment="1">
      <alignment wrapText="1"/>
    </xf>
    <xf numFmtId="164" fontId="0" fillId="0" borderId="1" xfId="0" applyNumberFormat="1" applyBorder="1" applyAlignment="1">
      <alignment wrapText="1"/>
    </xf>
    <xf numFmtId="9" fontId="0" fillId="0" borderId="1" xfId="1" applyFont="1" applyFill="1" applyBorder="1" applyAlignment="1">
      <alignment wrapText="1"/>
    </xf>
    <xf numFmtId="0" fontId="0" fillId="0" borderId="1" xfId="1" applyNumberFormat="1" applyFont="1" applyFill="1" applyBorder="1" applyAlignment="1">
      <alignment wrapText="1"/>
    </xf>
    <xf numFmtId="22" fontId="7" fillId="0" borderId="4" xfId="0" applyNumberFormat="1" applyFont="1" applyBorder="1" applyAlignment="1">
      <alignment vertical="top"/>
    </xf>
    <xf numFmtId="0" fontId="7" fillId="0" borderId="20" xfId="0" applyFont="1" applyBorder="1" applyAlignment="1">
      <alignment vertical="top"/>
    </xf>
    <xf numFmtId="0" fontId="7" fillId="0" borderId="19" xfId="0" applyFont="1" applyBorder="1" applyAlignment="1">
      <alignment vertical="top"/>
    </xf>
    <xf numFmtId="49" fontId="0" fillId="0" borderId="1" xfId="0" applyNumberFormat="1" applyBorder="1"/>
    <xf numFmtId="49" fontId="0" fillId="0" borderId="1" xfId="0" applyNumberFormat="1" applyBorder="1" applyAlignment="1">
      <alignment horizontal="left"/>
    </xf>
    <xf numFmtId="0" fontId="0" fillId="0" borderId="1" xfId="0" applyBorder="1" applyAlignment="1">
      <alignment horizontal="left"/>
    </xf>
    <xf numFmtId="0" fontId="0" fillId="0" borderId="0" xfId="0" pivotButton="1"/>
    <xf numFmtId="0" fontId="0" fillId="0" borderId="0" xfId="0" applyAlignment="1">
      <alignment horizontal="left"/>
    </xf>
    <xf numFmtId="0" fontId="0" fillId="2" borderId="1" xfId="0" applyFill="1" applyBorder="1" applyAlignment="1">
      <alignment wrapText="1"/>
    </xf>
    <xf numFmtId="0" fontId="2" fillId="0" borderId="2" xfId="0" applyFont="1" applyBorder="1"/>
    <xf numFmtId="0" fontId="0" fillId="0" borderId="2" xfId="0" applyBorder="1" applyAlignment="1">
      <alignment wrapText="1"/>
    </xf>
    <xf numFmtId="49" fontId="0" fillId="0" borderId="2" xfId="0" applyNumberFormat="1" applyBorder="1" applyAlignment="1">
      <alignment wrapText="1"/>
    </xf>
    <xf numFmtId="49" fontId="0" fillId="0" borderId="2" xfId="0" applyNumberFormat="1" applyBorder="1" applyAlignment="1">
      <alignment horizontal="left" wrapText="1"/>
    </xf>
    <xf numFmtId="0" fontId="0" fillId="2" borderId="2" xfId="0" applyFill="1" applyBorder="1"/>
    <xf numFmtId="0" fontId="0" fillId="0" borderId="21" xfId="0" applyBorder="1" applyAlignment="1">
      <alignment wrapText="1"/>
    </xf>
    <xf numFmtId="49" fontId="0" fillId="0" borderId="21" xfId="0" applyNumberFormat="1" applyBorder="1" applyAlignment="1">
      <alignment wrapText="1"/>
    </xf>
    <xf numFmtId="49" fontId="0" fillId="0" borderId="21" xfId="0" applyNumberFormat="1" applyBorder="1" applyAlignment="1">
      <alignment horizontal="left" wrapText="1"/>
    </xf>
    <xf numFmtId="0" fontId="0" fillId="0" borderId="21" xfId="0" applyBorder="1"/>
    <xf numFmtId="0" fontId="0" fillId="0" borderId="2" xfId="0" applyBorder="1" applyAlignment="1">
      <alignment horizontal="left" wrapText="1"/>
    </xf>
    <xf numFmtId="0" fontId="0" fillId="0" borderId="2" xfId="0" applyBorder="1"/>
    <xf numFmtId="0" fontId="0" fillId="2" borderId="21" xfId="0" applyFill="1" applyBorder="1"/>
    <xf numFmtId="0" fontId="0" fillId="0" borderId="21" xfId="0" applyBorder="1" applyAlignment="1">
      <alignment horizontal="left" wrapText="1"/>
    </xf>
    <xf numFmtId="0" fontId="0" fillId="0" borderId="24" xfId="0" applyBorder="1" applyAlignment="1">
      <alignment wrapText="1"/>
    </xf>
    <xf numFmtId="49" fontId="0" fillId="0" borderId="24" xfId="0" applyNumberFormat="1" applyBorder="1" applyAlignment="1">
      <alignment wrapText="1"/>
    </xf>
    <xf numFmtId="49" fontId="0" fillId="0" borderId="24" xfId="0" applyNumberFormat="1" applyBorder="1" applyAlignment="1">
      <alignment horizontal="left" wrapText="1"/>
    </xf>
    <xf numFmtId="0" fontId="0" fillId="2" borderId="24" xfId="0" applyFill="1" applyBorder="1"/>
    <xf numFmtId="22" fontId="0" fillId="0" borderId="1" xfId="0" applyNumberFormat="1" applyBorder="1"/>
    <xf numFmtId="0" fontId="0" fillId="0" borderId="1" xfId="0" applyBorder="1" applyAlignment="1">
      <alignment horizontal="left" vertical="center"/>
    </xf>
    <xf numFmtId="0" fontId="0" fillId="2" borderId="2" xfId="0" applyFill="1" applyBorder="1" applyAlignment="1">
      <alignment wrapText="1"/>
    </xf>
    <xf numFmtId="0" fontId="0" fillId="2" borderId="21" xfId="0" applyFill="1" applyBorder="1" applyAlignment="1">
      <alignment wrapText="1"/>
    </xf>
    <xf numFmtId="0" fontId="9" fillId="0" borderId="0" xfId="0" applyFont="1"/>
    <xf numFmtId="0" fontId="7" fillId="0" borderId="27" xfId="0" applyFont="1" applyBorder="1" applyAlignment="1">
      <alignment vertical="top"/>
    </xf>
    <xf numFmtId="22" fontId="0" fillId="0" borderId="2" xfId="0" applyNumberFormat="1" applyBorder="1"/>
    <xf numFmtId="0" fontId="0" fillId="0" borderId="2" xfId="0" applyBorder="1" applyAlignment="1">
      <alignment horizontal="left" vertical="center"/>
    </xf>
    <xf numFmtId="0" fontId="7" fillId="0" borderId="30" xfId="0" applyFont="1" applyBorder="1" applyAlignment="1">
      <alignment vertical="top"/>
    </xf>
    <xf numFmtId="0" fontId="0" fillId="7" borderId="0" xfId="0" applyFill="1"/>
    <xf numFmtId="0" fontId="0" fillId="2" borderId="0" xfId="0" applyFill="1"/>
    <xf numFmtId="0" fontId="0" fillId="7" borderId="1" xfId="0" applyFill="1" applyBorder="1"/>
    <xf numFmtId="0" fontId="0" fillId="7" borderId="1" xfId="0" applyFill="1" applyBorder="1" applyAlignment="1">
      <alignment wrapText="1"/>
    </xf>
    <xf numFmtId="49" fontId="0" fillId="7" borderId="1" xfId="0" applyNumberFormat="1" applyFill="1" applyBorder="1" applyAlignment="1">
      <alignment wrapText="1"/>
    </xf>
    <xf numFmtId="49" fontId="0" fillId="7" borderId="1" xfId="0" applyNumberFormat="1" applyFill="1" applyBorder="1" applyAlignment="1">
      <alignment horizontal="left" wrapText="1"/>
    </xf>
    <xf numFmtId="9" fontId="0" fillId="2" borderId="1" xfId="0" applyNumberFormat="1" applyFill="1" applyBorder="1" applyAlignment="1">
      <alignment wrapText="1"/>
    </xf>
    <xf numFmtId="9" fontId="0" fillId="0" borderId="1" xfId="0" applyNumberFormat="1" applyBorder="1" applyAlignment="1">
      <alignment wrapText="1"/>
    </xf>
    <xf numFmtId="2" fontId="0" fillId="0" borderId="1" xfId="1" applyNumberFormat="1" applyFont="1" applyFill="1" applyBorder="1" applyAlignment="1">
      <alignment wrapText="1"/>
    </xf>
    <xf numFmtId="1" fontId="0" fillId="0" borderId="1" xfId="0" applyNumberFormat="1" applyBorder="1" applyAlignment="1">
      <alignment wrapText="1"/>
    </xf>
    <xf numFmtId="1" fontId="0" fillId="0" borderId="1" xfId="1" applyNumberFormat="1" applyFont="1" applyFill="1" applyBorder="1" applyAlignment="1">
      <alignment wrapText="1"/>
    </xf>
    <xf numFmtId="17" fontId="2" fillId="0" borderId="0" xfId="0" applyNumberFormat="1" applyFont="1"/>
    <xf numFmtId="17" fontId="2" fillId="0" borderId="1" xfId="0" applyNumberFormat="1" applyFont="1" applyBorder="1"/>
    <xf numFmtId="10" fontId="5" fillId="5" borderId="9" xfId="0" applyNumberFormat="1" applyFont="1" applyFill="1" applyBorder="1" applyAlignment="1">
      <alignment horizontal="left"/>
    </xf>
    <xf numFmtId="9" fontId="5" fillId="5" borderId="17" xfId="0" applyNumberFormat="1" applyFont="1" applyFill="1" applyBorder="1" applyAlignment="1">
      <alignment horizontal="left" wrapText="1"/>
    </xf>
    <xf numFmtId="0" fontId="5" fillId="5" borderId="5" xfId="0" applyFont="1" applyFill="1" applyBorder="1" applyAlignment="1">
      <alignment horizontal="left" wrapText="1"/>
    </xf>
    <xf numFmtId="0" fontId="5" fillId="5" borderId="18" xfId="0" applyFont="1" applyFill="1" applyBorder="1" applyAlignment="1">
      <alignment horizontal="left" wrapText="1"/>
    </xf>
    <xf numFmtId="0" fontId="5" fillId="5" borderId="32" xfId="0" applyFont="1" applyFill="1" applyBorder="1" applyAlignment="1">
      <alignment horizontal="left" wrapText="1"/>
    </xf>
    <xf numFmtId="0" fontId="6" fillId="5" borderId="10" xfId="0" applyFont="1" applyFill="1" applyBorder="1" applyAlignment="1">
      <alignment horizontal="left" wrapText="1"/>
    </xf>
    <xf numFmtId="0" fontId="5" fillId="0" borderId="1" xfId="0" applyFont="1" applyBorder="1" applyAlignment="1">
      <alignment horizontal="left" wrapText="1"/>
    </xf>
    <xf numFmtId="0" fontId="5" fillId="0" borderId="1" xfId="0" applyFont="1" applyBorder="1" applyAlignment="1">
      <alignment horizontal="left"/>
    </xf>
    <xf numFmtId="0" fontId="2" fillId="11" borderId="1" xfId="0" applyFont="1" applyFill="1" applyBorder="1" applyAlignment="1">
      <alignment wrapText="1"/>
    </xf>
    <xf numFmtId="0" fontId="0" fillId="0" borderId="1" xfId="0" applyBorder="1" applyAlignment="1">
      <alignment horizontal="fill"/>
    </xf>
    <xf numFmtId="0" fontId="0" fillId="0" borderId="1" xfId="0" applyBorder="1" applyAlignment="1">
      <alignment horizontal="fill" vertical="center"/>
    </xf>
    <xf numFmtId="0" fontId="0" fillId="0" borderId="2" xfId="0" applyBorder="1" applyAlignment="1">
      <alignment horizontal="fill" vertical="center"/>
    </xf>
    <xf numFmtId="0" fontId="0" fillId="0" borderId="2" xfId="0" applyBorder="1" applyAlignment="1">
      <alignment horizontal="fill" vertical="top"/>
    </xf>
    <xf numFmtId="22" fontId="0" fillId="0" borderId="4" xfId="0" applyNumberFormat="1" applyBorder="1"/>
    <xf numFmtId="0" fontId="0" fillId="0" borderId="4" xfId="0" applyBorder="1"/>
    <xf numFmtId="0" fontId="0" fillId="0" borderId="0" xfId="0" applyAlignment="1">
      <alignment horizontal="center"/>
    </xf>
    <xf numFmtId="17" fontId="2" fillId="0" borderId="31" xfId="0" applyNumberFormat="1" applyFont="1" applyBorder="1"/>
    <xf numFmtId="0" fontId="6" fillId="5" borderId="1" xfId="0" applyFont="1" applyFill="1" applyBorder="1" applyAlignment="1">
      <alignment horizontal="left" wrapText="1"/>
    </xf>
    <xf numFmtId="0" fontId="5" fillId="5" borderId="1" xfId="0" applyFont="1" applyFill="1" applyBorder="1" applyAlignment="1">
      <alignment horizontal="left"/>
    </xf>
    <xf numFmtId="0" fontId="5" fillId="5" borderId="1" xfId="0" applyFont="1" applyFill="1" applyBorder="1" applyAlignment="1">
      <alignment horizontal="left" wrapText="1"/>
    </xf>
    <xf numFmtId="10" fontId="5" fillId="5" borderId="1" xfId="0" applyNumberFormat="1" applyFont="1" applyFill="1" applyBorder="1" applyAlignment="1">
      <alignment horizontal="left"/>
    </xf>
    <xf numFmtId="10" fontId="0" fillId="0" borderId="31" xfId="0" applyNumberFormat="1" applyBorder="1"/>
    <xf numFmtId="10" fontId="0" fillId="0" borderId="1" xfId="0" applyNumberFormat="1" applyBorder="1"/>
    <xf numFmtId="0" fontId="5" fillId="0" borderId="5" xfId="0" applyFont="1" applyBorder="1" applyAlignment="1">
      <alignment horizontal="left" wrapText="1"/>
    </xf>
    <xf numFmtId="0" fontId="5" fillId="0" borderId="18" xfId="0" applyFont="1" applyBorder="1" applyAlignment="1">
      <alignment horizontal="left" wrapText="1"/>
    </xf>
    <xf numFmtId="0" fontId="5" fillId="0" borderId="32" xfId="0" applyFont="1" applyBorder="1" applyAlignment="1">
      <alignment horizontal="left" wrapText="1"/>
    </xf>
    <xf numFmtId="0" fontId="10" fillId="0" borderId="1" xfId="0" applyFont="1" applyBorder="1" applyAlignment="1">
      <alignment wrapText="1"/>
    </xf>
    <xf numFmtId="0" fontId="8" fillId="5" borderId="2" xfId="0" applyFont="1" applyFill="1" applyBorder="1" applyAlignment="1">
      <alignment vertical="top" wrapText="1"/>
    </xf>
    <xf numFmtId="0" fontId="8" fillId="6" borderId="7" xfId="0" applyFont="1" applyFill="1" applyBorder="1" applyAlignment="1">
      <alignment vertical="top" wrapText="1"/>
    </xf>
    <xf numFmtId="0" fontId="8" fillId="5" borderId="7" xfId="0" applyFont="1" applyFill="1" applyBorder="1" applyAlignment="1">
      <alignment vertical="top" wrapText="1"/>
    </xf>
    <xf numFmtId="0" fontId="8" fillId="6" borderId="34" xfId="0" applyFont="1" applyFill="1" applyBorder="1" applyAlignment="1">
      <alignment vertical="top" wrapText="1"/>
    </xf>
    <xf numFmtId="0" fontId="8" fillId="5" borderId="34" xfId="0" applyFont="1" applyFill="1" applyBorder="1" applyAlignment="1">
      <alignment vertical="top" wrapText="1"/>
    </xf>
    <xf numFmtId="0" fontId="10" fillId="0" borderId="1" xfId="0" applyFont="1" applyBorder="1"/>
    <xf numFmtId="0" fontId="8" fillId="0" borderId="1" xfId="0" applyFont="1" applyBorder="1" applyAlignment="1">
      <alignment vertical="top" wrapText="1"/>
    </xf>
    <xf numFmtId="0" fontId="8" fillId="0" borderId="1" xfId="0" applyFont="1" applyBorder="1" applyAlignment="1">
      <alignment vertical="top"/>
    </xf>
    <xf numFmtId="0" fontId="0" fillId="12" borderId="0" xfId="0" applyFill="1"/>
    <xf numFmtId="22" fontId="7" fillId="12" borderId="4" xfId="0" applyNumberFormat="1" applyFont="1" applyFill="1" applyBorder="1" applyAlignment="1">
      <alignment vertical="top"/>
    </xf>
    <xf numFmtId="0" fontId="7" fillId="12" borderId="20" xfId="0" applyFont="1" applyFill="1" applyBorder="1" applyAlignment="1">
      <alignment vertical="top"/>
    </xf>
    <xf numFmtId="49" fontId="0" fillId="12" borderId="1" xfId="0" applyNumberFormat="1" applyFill="1" applyBorder="1"/>
    <xf numFmtId="0" fontId="0" fillId="12" borderId="1" xfId="0" applyFill="1" applyBorder="1"/>
    <xf numFmtId="0" fontId="0" fillId="12" borderId="1" xfId="0" applyFill="1" applyBorder="1" applyAlignment="1">
      <alignment horizontal="left"/>
    </xf>
    <xf numFmtId="49" fontId="0" fillId="12" borderId="1" xfId="0" applyNumberFormat="1" applyFill="1" applyBorder="1" applyAlignment="1">
      <alignment wrapText="1"/>
    </xf>
    <xf numFmtId="0" fontId="0" fillId="12" borderId="1" xfId="0" applyFill="1" applyBorder="1" applyAlignment="1">
      <alignment wrapText="1"/>
    </xf>
    <xf numFmtId="22" fontId="7" fillId="12" borderId="26" xfId="0" applyNumberFormat="1" applyFont="1" applyFill="1" applyBorder="1" applyAlignment="1">
      <alignment vertical="top"/>
    </xf>
    <xf numFmtId="0" fontId="7" fillId="12" borderId="27" xfId="0" applyFont="1" applyFill="1" applyBorder="1" applyAlignment="1">
      <alignment vertical="top"/>
    </xf>
    <xf numFmtId="49" fontId="0" fillId="12" borderId="26" xfId="0" applyNumberFormat="1" applyFill="1" applyBorder="1"/>
    <xf numFmtId="0" fontId="0" fillId="12" borderId="26" xfId="0" applyFill="1" applyBorder="1"/>
    <xf numFmtId="49" fontId="0" fillId="12" borderId="26" xfId="0" applyNumberFormat="1" applyFill="1" applyBorder="1" applyAlignment="1">
      <alignment horizontal="left"/>
    </xf>
    <xf numFmtId="22" fontId="7" fillId="12" borderId="29" xfId="0" applyNumberFormat="1" applyFont="1" applyFill="1" applyBorder="1" applyAlignment="1">
      <alignment vertical="top"/>
    </xf>
    <xf numFmtId="0" fontId="7" fillId="12" borderId="30" xfId="0" applyFont="1" applyFill="1" applyBorder="1" applyAlignment="1">
      <alignment vertical="top"/>
    </xf>
    <xf numFmtId="49" fontId="0" fillId="12" borderId="28" xfId="0" applyNumberFormat="1" applyFill="1" applyBorder="1"/>
    <xf numFmtId="0" fontId="0" fillId="12" borderId="28" xfId="0" applyFill="1" applyBorder="1"/>
    <xf numFmtId="0" fontId="0" fillId="12" borderId="28" xfId="0" applyFill="1" applyBorder="1" applyAlignment="1">
      <alignment horizontal="left"/>
    </xf>
    <xf numFmtId="49" fontId="0" fillId="12" borderId="1" xfId="0" applyNumberFormat="1" applyFill="1" applyBorder="1" applyAlignment="1">
      <alignment horizontal="left"/>
    </xf>
    <xf numFmtId="0" fontId="7" fillId="12" borderId="25" xfId="0" applyFont="1" applyFill="1" applyBorder="1" applyAlignment="1">
      <alignment vertical="top"/>
    </xf>
    <xf numFmtId="0" fontId="7" fillId="12" borderId="26" xfId="0" applyFont="1" applyFill="1" applyBorder="1" applyAlignment="1">
      <alignment vertical="top"/>
    </xf>
    <xf numFmtId="22" fontId="0" fillId="12" borderId="2" xfId="0" applyNumberFormat="1" applyFill="1" applyBorder="1"/>
    <xf numFmtId="0" fontId="0" fillId="12" borderId="2" xfId="0" applyFill="1" applyBorder="1"/>
    <xf numFmtId="49" fontId="0" fillId="12" borderId="2" xfId="0" applyNumberFormat="1" applyFill="1" applyBorder="1"/>
    <xf numFmtId="49" fontId="0" fillId="12" borderId="2" xfId="0" applyNumberFormat="1" applyFill="1" applyBorder="1" applyAlignment="1">
      <alignment horizontal="left"/>
    </xf>
    <xf numFmtId="0" fontId="0" fillId="12" borderId="0" xfId="0" applyFill="1" applyAlignment="1">
      <alignment wrapText="1"/>
    </xf>
    <xf numFmtId="22" fontId="0" fillId="12" borderId="1" xfId="0" applyNumberFormat="1" applyFill="1" applyBorder="1"/>
    <xf numFmtId="0" fontId="0" fillId="12" borderId="1" xfId="0" applyFill="1" applyBorder="1" applyAlignment="1">
      <alignment horizontal="left" wrapText="1"/>
    </xf>
    <xf numFmtId="0" fontId="0" fillId="12" borderId="1" xfId="0" applyFill="1" applyBorder="1" applyAlignment="1">
      <alignment horizontal="left" vertical="center"/>
    </xf>
    <xf numFmtId="0" fontId="0" fillId="12" borderId="1" xfId="0" applyFill="1" applyBorder="1" applyAlignment="1">
      <alignment horizontal="fill" vertical="center"/>
    </xf>
    <xf numFmtId="0" fontId="0" fillId="12" borderId="1" xfId="0" applyFill="1" applyBorder="1" applyAlignment="1">
      <alignment horizontal="fill"/>
    </xf>
    <xf numFmtId="22" fontId="0" fillId="12" borderId="26" xfId="0" applyNumberFormat="1" applyFill="1" applyBorder="1"/>
    <xf numFmtId="0" fontId="0" fillId="12" borderId="26" xfId="0" applyFill="1" applyBorder="1" applyAlignment="1">
      <alignment horizontal="fill"/>
    </xf>
    <xf numFmtId="0" fontId="8" fillId="12" borderId="26" xfId="0" applyFont="1" applyFill="1" applyBorder="1" applyAlignment="1">
      <alignment vertical="top" wrapText="1"/>
    </xf>
    <xf numFmtId="0" fontId="0" fillId="12" borderId="26" xfId="0" applyFill="1" applyBorder="1" applyAlignment="1">
      <alignment horizontal="fill" vertical="center"/>
    </xf>
    <xf numFmtId="0" fontId="7" fillId="12" borderId="26" xfId="0" applyFont="1" applyFill="1" applyBorder="1" applyAlignment="1">
      <alignment vertical="top" wrapText="1"/>
    </xf>
    <xf numFmtId="9" fontId="0" fillId="0" borderId="0" xfId="0" applyNumberFormat="1"/>
    <xf numFmtId="10" fontId="0" fillId="0" borderId="0" xfId="0" applyNumberFormat="1"/>
    <xf numFmtId="17" fontId="6" fillId="9" borderId="1" xfId="0" applyNumberFormat="1" applyFont="1" applyFill="1" applyBorder="1" applyAlignment="1">
      <alignment wrapText="1"/>
    </xf>
    <xf numFmtId="9" fontId="0" fillId="0" borderId="1" xfId="1" applyFont="1" applyBorder="1"/>
    <xf numFmtId="0" fontId="0" fillId="13" borderId="0" xfId="0" applyFill="1"/>
    <xf numFmtId="49" fontId="0" fillId="0" borderId="0" xfId="0" applyNumberFormat="1"/>
    <xf numFmtId="9" fontId="0" fillId="0" borderId="0" xfId="1" applyFont="1"/>
    <xf numFmtId="0" fontId="12" fillId="0" borderId="1" xfId="0" applyFont="1" applyBorder="1"/>
    <xf numFmtId="0" fontId="0" fillId="2" borderId="24" xfId="0" applyFill="1" applyBorder="1" applyAlignment="1">
      <alignment wrapText="1"/>
    </xf>
    <xf numFmtId="0" fontId="0" fillId="0" borderId="24" xfId="0" applyBorder="1"/>
    <xf numFmtId="0" fontId="0" fillId="0" borderId="24" xfId="0" applyBorder="1" applyAlignment="1">
      <alignment horizontal="left" wrapText="1"/>
    </xf>
    <xf numFmtId="22" fontId="0" fillId="0" borderId="0" xfId="0" applyNumberFormat="1"/>
    <xf numFmtId="0" fontId="7" fillId="0" borderId="1" xfId="0" applyFont="1" applyBorder="1" applyAlignment="1">
      <alignment vertical="top" wrapText="1"/>
    </xf>
    <xf numFmtId="0" fontId="7" fillId="0" borderId="2" xfId="0" applyFont="1" applyBorder="1" applyAlignment="1">
      <alignment vertical="top" wrapText="1"/>
    </xf>
    <xf numFmtId="22" fontId="0" fillId="0" borderId="26" xfId="0" applyNumberFormat="1" applyBorder="1"/>
    <xf numFmtId="0" fontId="0" fillId="0" borderId="26" xfId="0" applyBorder="1"/>
    <xf numFmtId="49" fontId="0" fillId="0" borderId="26" xfId="0" applyNumberFormat="1" applyBorder="1"/>
    <xf numFmtId="49" fontId="0" fillId="0" borderId="26" xfId="0" applyNumberFormat="1" applyBorder="1" applyAlignment="1">
      <alignment horizontal="left"/>
    </xf>
    <xf numFmtId="0" fontId="11" fillId="0" borderId="38" xfId="2" applyFill="1" applyBorder="1" applyAlignment="1">
      <alignment wrapText="1"/>
    </xf>
    <xf numFmtId="0" fontId="11" fillId="0" borderId="0" xfId="2" applyFill="1" applyBorder="1"/>
    <xf numFmtId="0" fontId="11" fillId="0" borderId="36" xfId="2" applyFill="1" applyBorder="1" applyAlignment="1">
      <alignment wrapText="1"/>
    </xf>
    <xf numFmtId="0" fontId="7" fillId="12" borderId="39" xfId="0" applyFont="1" applyFill="1" applyBorder="1" applyAlignment="1">
      <alignment vertical="top"/>
    </xf>
    <xf numFmtId="49" fontId="0" fillId="12" borderId="37" xfId="0" applyNumberFormat="1" applyFill="1" applyBorder="1"/>
    <xf numFmtId="0" fontId="7" fillId="0" borderId="1" xfId="0" applyFont="1" applyBorder="1" applyAlignment="1">
      <alignment vertical="top"/>
    </xf>
    <xf numFmtId="0" fontId="7" fillId="12" borderId="1" xfId="0" applyFont="1" applyFill="1" applyBorder="1" applyAlignment="1">
      <alignment vertical="top"/>
    </xf>
    <xf numFmtId="0" fontId="0" fillId="0" borderId="26" xfId="0" applyBorder="1" applyAlignment="1">
      <alignment wrapText="1"/>
    </xf>
    <xf numFmtId="49" fontId="0" fillId="0" borderId="26" xfId="0" applyNumberFormat="1" applyBorder="1" applyAlignment="1">
      <alignment wrapText="1"/>
    </xf>
    <xf numFmtId="49" fontId="0" fillId="0" borderId="26" xfId="0" applyNumberFormat="1" applyBorder="1" applyAlignment="1">
      <alignment horizontal="left" wrapText="1"/>
    </xf>
    <xf numFmtId="0" fontId="13" fillId="0" borderId="21" xfId="0" applyFont="1" applyBorder="1" applyAlignment="1">
      <alignment wrapText="1"/>
    </xf>
    <xf numFmtId="0" fontId="13" fillId="0" borderId="1" xfId="0" applyFont="1" applyBorder="1" applyAlignment="1">
      <alignment wrapText="1"/>
    </xf>
    <xf numFmtId="0" fontId="0" fillId="0" borderId="29" xfId="0" applyBorder="1"/>
    <xf numFmtId="22" fontId="0" fillId="0" borderId="28" xfId="0" applyNumberFormat="1" applyBorder="1"/>
    <xf numFmtId="0" fontId="0" fillId="0" borderId="28" xfId="0" applyBorder="1" applyAlignment="1">
      <alignment wrapText="1"/>
    </xf>
    <xf numFmtId="49" fontId="0" fillId="0" borderId="28" xfId="0" applyNumberFormat="1" applyBorder="1" applyAlignment="1">
      <alignment wrapText="1"/>
    </xf>
    <xf numFmtId="0" fontId="0" fillId="0" borderId="41" xfId="0" applyBorder="1" applyAlignment="1">
      <alignment wrapText="1"/>
    </xf>
    <xf numFmtId="49" fontId="0" fillId="0" borderId="28" xfId="0" applyNumberFormat="1" applyBorder="1" applyAlignment="1">
      <alignment horizontal="left" wrapText="1"/>
    </xf>
    <xf numFmtId="0" fontId="0" fillId="0" borderId="28" xfId="0" applyBorder="1"/>
    <xf numFmtId="0" fontId="13" fillId="0" borderId="2" xfId="0" applyFont="1" applyBorder="1" applyAlignment="1">
      <alignment wrapText="1"/>
    </xf>
    <xf numFmtId="0" fontId="13" fillId="0" borderId="26" xfId="0" applyFont="1" applyBorder="1" applyAlignment="1">
      <alignment wrapText="1"/>
    </xf>
    <xf numFmtId="0" fontId="0" fillId="2" borderId="26" xfId="0" applyFill="1" applyBorder="1" applyAlignment="1">
      <alignment wrapText="1"/>
    </xf>
    <xf numFmtId="0" fontId="0" fillId="0" borderId="25" xfId="0" applyBorder="1"/>
    <xf numFmtId="49" fontId="0" fillId="0" borderId="2" xfId="0" applyNumberFormat="1" applyBorder="1"/>
    <xf numFmtId="49" fontId="0" fillId="0" borderId="2" xfId="0" applyNumberFormat="1" applyBorder="1" applyAlignment="1">
      <alignment horizontal="left"/>
    </xf>
    <xf numFmtId="0" fontId="0" fillId="0" borderId="2" xfId="0" applyBorder="1" applyAlignment="1">
      <alignment horizontal="fill"/>
    </xf>
    <xf numFmtId="0" fontId="0" fillId="0" borderId="26" xfId="0" applyBorder="1" applyAlignment="1">
      <alignment horizontal="left"/>
    </xf>
    <xf numFmtId="0" fontId="0" fillId="0" borderId="26" xfId="0" applyBorder="1" applyAlignment="1">
      <alignment horizontal="left" vertical="center"/>
    </xf>
    <xf numFmtId="0" fontId="0" fillId="0" borderId="26" xfId="0" applyBorder="1" applyAlignment="1">
      <alignment horizontal="fill" vertical="center"/>
    </xf>
    <xf numFmtId="0" fontId="15" fillId="0" borderId="1" xfId="0" applyFont="1" applyBorder="1" applyAlignment="1">
      <alignment vertical="center" wrapText="1"/>
    </xf>
    <xf numFmtId="0" fontId="15" fillId="0" borderId="1" xfId="0" applyFont="1" applyBorder="1" applyAlignment="1">
      <alignment wrapText="1"/>
    </xf>
    <xf numFmtId="0" fontId="14" fillId="0" borderId="2" xfId="0" applyFont="1" applyBorder="1"/>
    <xf numFmtId="0" fontId="17" fillId="0" borderId="1" xfId="0" applyFont="1" applyBorder="1" applyAlignment="1">
      <alignment wrapText="1"/>
    </xf>
    <xf numFmtId="17" fontId="0" fillId="0" borderId="1" xfId="0" applyNumberFormat="1" applyBorder="1"/>
    <xf numFmtId="0" fontId="0" fillId="8" borderId="1" xfId="0" applyFill="1" applyBorder="1"/>
    <xf numFmtId="10" fontId="0" fillId="8" borderId="1" xfId="0" applyNumberFormat="1" applyFill="1" applyBorder="1"/>
    <xf numFmtId="0" fontId="0" fillId="8" borderId="21" xfId="0" applyFill="1" applyBorder="1"/>
    <xf numFmtId="10" fontId="0" fillId="12" borderId="1" xfId="0" applyNumberFormat="1" applyFill="1" applyBorder="1"/>
    <xf numFmtId="10" fontId="0" fillId="2" borderId="2" xfId="0" applyNumberFormat="1" applyFill="1" applyBorder="1"/>
    <xf numFmtId="0" fontId="0" fillId="8" borderId="4" xfId="0" applyFill="1" applyBorder="1"/>
    <xf numFmtId="10" fontId="0" fillId="8" borderId="4" xfId="0" applyNumberFormat="1" applyFill="1" applyBorder="1"/>
    <xf numFmtId="0" fontId="0" fillId="8" borderId="26" xfId="0" applyFill="1" applyBorder="1"/>
    <xf numFmtId="10" fontId="0" fillId="8" borderId="26" xfId="0" applyNumberFormat="1" applyFill="1" applyBorder="1"/>
    <xf numFmtId="0" fontId="0" fillId="2" borderId="28" xfId="0" applyFill="1" applyBorder="1"/>
    <xf numFmtId="10" fontId="0" fillId="2" borderId="28" xfId="0" applyNumberFormat="1" applyFill="1" applyBorder="1"/>
    <xf numFmtId="17" fontId="0" fillId="0" borderId="4" xfId="0" applyNumberFormat="1" applyBorder="1"/>
    <xf numFmtId="17" fontId="0" fillId="0" borderId="21" xfId="0" applyNumberFormat="1" applyBorder="1"/>
    <xf numFmtId="1" fontId="0" fillId="0" borderId="21" xfId="0" applyNumberFormat="1" applyBorder="1"/>
    <xf numFmtId="17" fontId="0" fillId="0" borderId="2" xfId="0" applyNumberFormat="1" applyBorder="1"/>
    <xf numFmtId="17" fontId="2" fillId="7" borderId="44" xfId="0" applyNumberFormat="1" applyFont="1" applyFill="1" applyBorder="1"/>
    <xf numFmtId="1" fontId="2" fillId="7" borderId="44" xfId="0" applyNumberFormat="1" applyFont="1" applyFill="1" applyBorder="1"/>
    <xf numFmtId="0" fontId="2" fillId="7" borderId="44" xfId="0" applyFont="1" applyFill="1" applyBorder="1"/>
    <xf numFmtId="0" fontId="2" fillId="2" borderId="44" xfId="0" applyFont="1" applyFill="1" applyBorder="1"/>
    <xf numFmtId="1" fontId="2" fillId="2" borderId="44" xfId="0" applyNumberFormat="1" applyFont="1" applyFill="1" applyBorder="1"/>
    <xf numFmtId="0" fontId="0" fillId="7" borderId="44" xfId="0" applyFill="1" applyBorder="1"/>
    <xf numFmtId="0" fontId="0" fillId="2" borderId="44" xfId="0" applyFill="1" applyBorder="1"/>
    <xf numFmtId="1" fontId="0" fillId="2" borderId="44" xfId="0" applyNumberFormat="1" applyFill="1" applyBorder="1"/>
    <xf numFmtId="0" fontId="0" fillId="7" borderId="21" xfId="0" applyFill="1" applyBorder="1"/>
    <xf numFmtId="0" fontId="2" fillId="8" borderId="21" xfId="0" applyFont="1" applyFill="1" applyBorder="1"/>
    <xf numFmtId="10" fontId="2" fillId="8" borderId="21" xfId="0" applyNumberFormat="1" applyFont="1" applyFill="1" applyBorder="1"/>
    <xf numFmtId="0" fontId="2" fillId="12" borderId="1" xfId="0" applyFont="1" applyFill="1" applyBorder="1"/>
    <xf numFmtId="10" fontId="2" fillId="12" borderId="1" xfId="0" applyNumberFormat="1" applyFont="1" applyFill="1" applyBorder="1"/>
    <xf numFmtId="0" fontId="2" fillId="2" borderId="2" xfId="0" applyFont="1" applyFill="1" applyBorder="1"/>
    <xf numFmtId="10" fontId="2" fillId="2" borderId="2" xfId="0" applyNumberFormat="1" applyFont="1" applyFill="1" applyBorder="1"/>
    <xf numFmtId="0" fontId="2" fillId="2" borderId="24" xfId="0" applyFont="1" applyFill="1" applyBorder="1"/>
    <xf numFmtId="0" fontId="2" fillId="2" borderId="21" xfId="0" applyFont="1" applyFill="1" applyBorder="1"/>
    <xf numFmtId="0" fontId="0" fillId="0" borderId="18" xfId="0" applyBorder="1"/>
    <xf numFmtId="0" fontId="18" fillId="0" borderId="1" xfId="0" applyFont="1" applyBorder="1"/>
    <xf numFmtId="0" fontId="4" fillId="0" borderId="1" xfId="0" applyFont="1" applyBorder="1"/>
    <xf numFmtId="0" fontId="2" fillId="0" borderId="2" xfId="0" applyFont="1" applyBorder="1" applyAlignment="1">
      <alignment wrapText="1"/>
    </xf>
    <xf numFmtId="0" fontId="7" fillId="0" borderId="0" xfId="0" applyFont="1" applyAlignment="1">
      <alignment vertical="top"/>
    </xf>
    <xf numFmtId="0" fontId="0" fillId="0" borderId="18" xfId="0" applyBorder="1" applyAlignment="1">
      <alignment horizontal="left" vertical="center"/>
    </xf>
    <xf numFmtId="0" fontId="14" fillId="0" borderId="26" xfId="0" applyFont="1" applyBorder="1"/>
    <xf numFmtId="0" fontId="8" fillId="0" borderId="7" xfId="0" applyFont="1" applyBorder="1" applyAlignment="1">
      <alignment vertical="top" wrapText="1"/>
    </xf>
    <xf numFmtId="0" fontId="8" fillId="0" borderId="26" xfId="0" applyFont="1" applyBorder="1" applyAlignment="1">
      <alignment vertical="top" wrapText="1"/>
    </xf>
    <xf numFmtId="0" fontId="17" fillId="0" borderId="28" xfId="0" applyFont="1" applyBorder="1" applyAlignment="1">
      <alignment wrapText="1"/>
    </xf>
    <xf numFmtId="0" fontId="8" fillId="0" borderId="28" xfId="0" applyFont="1" applyBorder="1" applyAlignment="1">
      <alignment vertical="top" wrapText="1"/>
    </xf>
    <xf numFmtId="0" fontId="7" fillId="0" borderId="7" xfId="0" applyFont="1" applyBorder="1" applyAlignment="1">
      <alignment vertical="top" wrapText="1"/>
    </xf>
    <xf numFmtId="0" fontId="0" fillId="7" borderId="2" xfId="0" applyFill="1" applyBorder="1"/>
    <xf numFmtId="0" fontId="0" fillId="7" borderId="24" xfId="0" applyFill="1" applyBorder="1"/>
    <xf numFmtId="0" fontId="0" fillId="0" borderId="23" xfId="0" applyBorder="1"/>
    <xf numFmtId="0" fontId="0" fillId="0" borderId="46" xfId="0" applyBorder="1"/>
    <xf numFmtId="0" fontId="2" fillId="0" borderId="46" xfId="0" applyFont="1" applyBorder="1"/>
    <xf numFmtId="0" fontId="0" fillId="0" borderId="4" xfId="0" applyBorder="1" applyAlignment="1">
      <alignment wrapText="1"/>
    </xf>
    <xf numFmtId="49" fontId="0" fillId="0" borderId="4" xfId="0" applyNumberFormat="1" applyBorder="1" applyAlignment="1">
      <alignment wrapText="1"/>
    </xf>
    <xf numFmtId="49" fontId="0" fillId="0" borderId="4" xfId="0" applyNumberFormat="1" applyBorder="1" applyAlignment="1">
      <alignment horizontal="left" wrapText="1"/>
    </xf>
    <xf numFmtId="49" fontId="0" fillId="0" borderId="37" xfId="0" applyNumberFormat="1" applyBorder="1" applyAlignment="1">
      <alignment wrapText="1"/>
    </xf>
    <xf numFmtId="49" fontId="0" fillId="0" borderId="37" xfId="0" applyNumberFormat="1" applyBorder="1" applyAlignment="1">
      <alignment horizontal="left" wrapText="1"/>
    </xf>
    <xf numFmtId="0" fontId="0" fillId="2" borderId="37" xfId="0" applyFill="1" applyBorder="1" applyAlignment="1">
      <alignment wrapText="1"/>
    </xf>
    <xf numFmtId="17" fontId="2" fillId="0" borderId="37" xfId="0" applyNumberFormat="1" applyFont="1" applyBorder="1" applyAlignment="1">
      <alignment horizontal="center" vertical="center"/>
    </xf>
    <xf numFmtId="17" fontId="2" fillId="0" borderId="3" xfId="0" applyNumberFormat="1" applyFont="1" applyBorder="1" applyAlignment="1">
      <alignment horizontal="center" vertical="center"/>
    </xf>
    <xf numFmtId="17" fontId="2" fillId="0" borderId="29" xfId="0" applyNumberFormat="1" applyFont="1" applyBorder="1" applyAlignment="1">
      <alignment horizontal="center" vertical="center"/>
    </xf>
    <xf numFmtId="0" fontId="2" fillId="0" borderId="3" xfId="0" applyFont="1" applyBorder="1" applyAlignment="1">
      <alignment horizontal="center" vertical="center"/>
    </xf>
    <xf numFmtId="17" fontId="2" fillId="0" borderId="26" xfId="0" applyNumberFormat="1" applyFont="1" applyBorder="1" applyAlignment="1">
      <alignment horizontal="center" vertical="center"/>
    </xf>
    <xf numFmtId="17" fontId="2" fillId="0" borderId="1" xfId="0" applyNumberFormat="1" applyFont="1" applyBorder="1" applyAlignment="1">
      <alignment horizontal="center" vertical="center"/>
    </xf>
    <xf numFmtId="17" fontId="2" fillId="0" borderId="2" xfId="0" applyNumberFormat="1" applyFont="1" applyBorder="1" applyAlignment="1">
      <alignment horizontal="center" vertical="center"/>
    </xf>
    <xf numFmtId="17" fontId="2" fillId="0" borderId="23" xfId="0" applyNumberFormat="1" applyFont="1" applyBorder="1" applyAlignment="1">
      <alignment horizontal="center" vertical="center"/>
    </xf>
    <xf numFmtId="17" fontId="2" fillId="0" borderId="21" xfId="0" applyNumberFormat="1" applyFont="1" applyBorder="1" applyAlignment="1">
      <alignment horizontal="center" vertical="center"/>
    </xf>
    <xf numFmtId="17" fontId="2" fillId="0" borderId="24" xfId="0" applyNumberFormat="1" applyFont="1" applyBorder="1" applyAlignment="1">
      <alignment horizontal="center" vertical="center"/>
    </xf>
    <xf numFmtId="17" fontId="2" fillId="0" borderId="22" xfId="0" applyNumberFormat="1" applyFont="1"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2" fillId="2" borderId="1" xfId="0" applyFont="1" applyFill="1" applyBorder="1" applyAlignment="1">
      <alignment horizontal="center" wrapText="1"/>
    </xf>
    <xf numFmtId="0" fontId="2" fillId="7" borderId="1" xfId="0" applyFont="1" applyFill="1" applyBorder="1" applyAlignment="1">
      <alignment horizontal="center"/>
    </xf>
    <xf numFmtId="0" fontId="0" fillId="7" borderId="1" xfId="0" applyFill="1" applyBorder="1" applyAlignment="1">
      <alignment horizontal="center"/>
    </xf>
    <xf numFmtId="0" fontId="2" fillId="2" borderId="1" xfId="0" applyFont="1" applyFill="1" applyBorder="1" applyAlignment="1">
      <alignment horizontal="center"/>
    </xf>
    <xf numFmtId="0" fontId="0" fillId="2" borderId="1" xfId="0" applyFill="1" applyBorder="1" applyAlignment="1">
      <alignment horizontal="center"/>
    </xf>
    <xf numFmtId="0" fontId="2" fillId="7" borderId="1" xfId="0" applyFont="1" applyFill="1" applyBorder="1" applyAlignment="1">
      <alignment horizontal="center" wrapText="1"/>
    </xf>
    <xf numFmtId="0" fontId="0" fillId="7" borderId="1" xfId="0" applyFill="1" applyBorder="1" applyAlignment="1">
      <alignment horizont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28" xfId="0" applyFont="1" applyBorder="1" applyAlignment="1">
      <alignment horizontal="center" vertical="center"/>
    </xf>
    <xf numFmtId="0" fontId="0" fillId="2" borderId="31" xfId="0" applyFill="1" applyBorder="1" applyAlignment="1">
      <alignment horizontal="center"/>
    </xf>
    <xf numFmtId="0" fontId="0" fillId="2" borderId="19" xfId="0" applyFill="1" applyBorder="1" applyAlignment="1">
      <alignment horizontal="center"/>
    </xf>
    <xf numFmtId="17" fontId="2" fillId="0" borderId="4" xfId="0" applyNumberFormat="1" applyFont="1" applyBorder="1" applyAlignment="1">
      <alignment horizontal="center" vertical="center" wrapText="1"/>
    </xf>
    <xf numFmtId="17" fontId="2" fillId="0" borderId="1" xfId="0" applyNumberFormat="1" applyFont="1" applyBorder="1" applyAlignment="1">
      <alignment horizontal="center" vertical="center" wrapText="1"/>
    </xf>
    <xf numFmtId="17" fontId="2" fillId="0" borderId="2" xfId="0" applyNumberFormat="1" applyFont="1" applyBorder="1" applyAlignment="1">
      <alignment horizontal="center" vertical="center" wrapText="1"/>
    </xf>
    <xf numFmtId="17" fontId="2" fillId="0" borderId="26"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17" fontId="2" fillId="0" borderId="45" xfId="0" applyNumberFormat="1" applyFont="1" applyBorder="1" applyAlignment="1">
      <alignment wrapText="1"/>
    </xf>
    <xf numFmtId="0" fontId="0" fillId="0" borderId="40" xfId="0" applyBorder="1" applyAlignment="1">
      <alignment wrapText="1"/>
    </xf>
    <xf numFmtId="17" fontId="2" fillId="0" borderId="18" xfId="0" applyNumberFormat="1" applyFont="1" applyBorder="1" applyAlignment="1">
      <alignment horizontal="center" vertical="center" wrapText="1"/>
    </xf>
    <xf numFmtId="0" fontId="0" fillId="0" borderId="18" xfId="0" applyBorder="1" applyAlignment="1">
      <alignment horizontal="center" vertical="center" wrapText="1"/>
    </xf>
    <xf numFmtId="0" fontId="0" fillId="0" borderId="40" xfId="0" applyBorder="1" applyAlignment="1">
      <alignment horizontal="center" vertical="center" wrapText="1"/>
    </xf>
    <xf numFmtId="0" fontId="2" fillId="0" borderId="2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7" fontId="0" fillId="0" borderId="4" xfId="0" applyNumberFormat="1" applyBorder="1" applyAlignment="1">
      <alignment horizontal="center" vertical="center"/>
    </xf>
    <xf numFmtId="17" fontId="0" fillId="0" borderId="1" xfId="0" applyNumberFormat="1" applyBorder="1" applyAlignment="1">
      <alignment horizontal="center" vertical="center"/>
    </xf>
    <xf numFmtId="17" fontId="0" fillId="0" borderId="2" xfId="0" applyNumberFormat="1" applyBorder="1" applyAlignment="1">
      <alignment horizontal="center" vertical="center"/>
    </xf>
    <xf numFmtId="0" fontId="0" fillId="7" borderId="21" xfId="0" applyFill="1" applyBorder="1" applyAlignment="1">
      <alignment horizontal="center" vertical="center"/>
    </xf>
    <xf numFmtId="0" fontId="0" fillId="7" borderId="1" xfId="0" applyFill="1" applyBorder="1" applyAlignment="1">
      <alignment horizontal="center" vertical="center"/>
    </xf>
    <xf numFmtId="0" fontId="0" fillId="7" borderId="24" xfId="0" applyFill="1" applyBorder="1" applyAlignment="1">
      <alignment horizontal="center" vertical="center"/>
    </xf>
    <xf numFmtId="17" fontId="0" fillId="0" borderId="22" xfId="0" applyNumberFormat="1" applyBorder="1" applyAlignment="1">
      <alignment horizontal="center" vertical="center"/>
    </xf>
    <xf numFmtId="17" fontId="0" fillId="0" borderId="3" xfId="0" applyNumberFormat="1" applyBorder="1" applyAlignment="1">
      <alignment horizontal="center" vertical="center"/>
    </xf>
    <xf numFmtId="17" fontId="0" fillId="0" borderId="37" xfId="0" applyNumberFormat="1" applyBorder="1" applyAlignment="1">
      <alignment horizontal="center" vertical="center"/>
    </xf>
    <xf numFmtId="17" fontId="0" fillId="0" borderId="23" xfId="0" applyNumberFormat="1" applyBorder="1" applyAlignment="1">
      <alignment horizontal="center" vertical="center"/>
    </xf>
    <xf numFmtId="17" fontId="0" fillId="0" borderId="29" xfId="0" applyNumberFormat="1" applyBorder="1" applyAlignment="1">
      <alignment horizontal="center" vertical="center"/>
    </xf>
    <xf numFmtId="17" fontId="0" fillId="0" borderId="26" xfId="0" applyNumberFormat="1" applyBorder="1" applyAlignment="1">
      <alignment horizontal="center" vertical="center"/>
    </xf>
    <xf numFmtId="17" fontId="0" fillId="0" borderId="28" xfId="0" applyNumberFormat="1" applyBorder="1" applyAlignment="1">
      <alignment horizontal="center" vertical="center"/>
    </xf>
    <xf numFmtId="0" fontId="2" fillId="0" borderId="22" xfId="0" applyFont="1" applyBorder="1" applyAlignment="1">
      <alignment horizontal="center" vertical="center"/>
    </xf>
    <xf numFmtId="0" fontId="2" fillId="0" borderId="21" xfId="0" applyFont="1" applyBorder="1" applyAlignment="1">
      <alignment horizontal="center" vertical="center"/>
    </xf>
    <xf numFmtId="0" fontId="2" fillId="0" borderId="24" xfId="0" applyFont="1" applyBorder="1" applyAlignment="1">
      <alignment horizontal="center" vertical="center"/>
    </xf>
    <xf numFmtId="0" fontId="2" fillId="0" borderId="42" xfId="0" applyFont="1" applyBorder="1" applyAlignment="1">
      <alignment horizontal="center" vertical="center"/>
    </xf>
    <xf numFmtId="0" fontId="2" fillId="0" borderId="34" xfId="0" applyFont="1" applyBorder="1" applyAlignment="1">
      <alignment horizontal="center" vertical="center"/>
    </xf>
    <xf numFmtId="0" fontId="2" fillId="0" borderId="43" xfId="0" applyFont="1" applyBorder="1" applyAlignment="1">
      <alignment horizontal="center" vertical="center"/>
    </xf>
    <xf numFmtId="0" fontId="2" fillId="0" borderId="23" xfId="0" applyFont="1" applyBorder="1" applyAlignment="1">
      <alignment horizontal="center" vertical="center"/>
    </xf>
    <xf numFmtId="0" fontId="2" fillId="0" borderId="1" xfId="0" applyFont="1" applyBorder="1" applyAlignment="1">
      <alignment vertical="center"/>
    </xf>
    <xf numFmtId="0" fontId="0" fillId="0" borderId="1" xfId="0" applyBorder="1" applyAlignment="1">
      <alignment vertical="center"/>
    </xf>
    <xf numFmtId="0" fontId="0" fillId="10" borderId="2" xfId="0" applyFill="1" applyBorder="1" applyAlignment="1">
      <alignment horizontal="center" wrapText="1"/>
    </xf>
    <xf numFmtId="0" fontId="0" fillId="10" borderId="3" xfId="0" applyFill="1" applyBorder="1" applyAlignment="1">
      <alignment horizontal="center" wrapText="1"/>
    </xf>
    <xf numFmtId="0" fontId="0" fillId="10" borderId="4" xfId="0" applyFill="1" applyBorder="1" applyAlignment="1">
      <alignment horizontal="center" wrapText="1"/>
    </xf>
    <xf numFmtId="0" fontId="5" fillId="5" borderId="2" xfId="0" applyFont="1" applyFill="1" applyBorder="1" applyAlignment="1">
      <alignment horizontal="center" wrapText="1"/>
    </xf>
    <xf numFmtId="0" fontId="5" fillId="5" borderId="3" xfId="0" applyFont="1" applyFill="1" applyBorder="1" applyAlignment="1">
      <alignment horizontal="center" wrapText="1"/>
    </xf>
    <xf numFmtId="0" fontId="5" fillId="5" borderId="4" xfId="0" applyFont="1" applyFill="1" applyBorder="1" applyAlignment="1">
      <alignment horizontal="center" wrapText="1"/>
    </xf>
    <xf numFmtId="0" fontId="0" fillId="0" borderId="33" xfId="0" applyBorder="1" applyAlignment="1">
      <alignment horizontal="center" wrapText="1"/>
    </xf>
    <xf numFmtId="0" fontId="0" fillId="0" borderId="3" xfId="0" applyBorder="1" applyAlignment="1">
      <alignment horizontal="center"/>
    </xf>
    <xf numFmtId="0" fontId="0" fillId="0" borderId="35" xfId="0" applyBorder="1" applyAlignment="1">
      <alignment horizontal="center"/>
    </xf>
    <xf numFmtId="0" fontId="0" fillId="0" borderId="33" xfId="0" applyBorder="1" applyAlignment="1">
      <alignment horizontal="center"/>
    </xf>
    <xf numFmtId="0" fontId="5" fillId="5" borderId="1" xfId="0" applyFont="1" applyFill="1" applyBorder="1" applyAlignment="1">
      <alignment horizontal="left" wrapText="1"/>
    </xf>
    <xf numFmtId="0" fontId="0" fillId="0" borderId="2" xfId="0" applyBorder="1" applyAlignment="1">
      <alignment horizontal="center"/>
    </xf>
    <xf numFmtId="0" fontId="0" fillId="0" borderId="4" xfId="0" applyBorder="1" applyAlignment="1">
      <alignment horizontal="center"/>
    </xf>
    <xf numFmtId="0" fontId="0" fillId="0" borderId="2" xfId="0" applyBorder="1" applyAlignment="1">
      <alignment horizontal="center" wrapText="1"/>
    </xf>
    <xf numFmtId="0" fontId="0" fillId="0" borderId="1" xfId="0" applyBorder="1" applyAlignment="1">
      <alignment horizontal="center"/>
    </xf>
    <xf numFmtId="0" fontId="6" fillId="3" borderId="6" xfId="0" applyFont="1" applyFill="1" applyBorder="1" applyAlignment="1">
      <alignment horizontal="center" wrapText="1"/>
    </xf>
    <xf numFmtId="0" fontId="6" fillId="3" borderId="12" xfId="0" applyFont="1" applyFill="1" applyBorder="1" applyAlignment="1">
      <alignment horizontal="center" wrapText="1"/>
    </xf>
    <xf numFmtId="0" fontId="6" fillId="3" borderId="13" xfId="0" applyFont="1" applyFill="1" applyBorder="1" applyAlignment="1">
      <alignment horizontal="center" wrapText="1"/>
    </xf>
    <xf numFmtId="0" fontId="5" fillId="0" borderId="6" xfId="0" applyFont="1" applyBorder="1" applyAlignment="1">
      <alignment horizontal="left"/>
    </xf>
    <xf numFmtId="0" fontId="5" fillId="0" borderId="12" xfId="0" applyFont="1" applyBorder="1" applyAlignment="1">
      <alignment horizontal="left"/>
    </xf>
    <xf numFmtId="0" fontId="5" fillId="0" borderId="13" xfId="0" applyFont="1" applyBorder="1" applyAlignment="1">
      <alignment horizontal="left"/>
    </xf>
    <xf numFmtId="0" fontId="5" fillId="5" borderId="10" xfId="0" applyFont="1" applyFill="1" applyBorder="1" applyAlignment="1">
      <alignment horizontal="left" wrapText="1"/>
    </xf>
    <xf numFmtId="0" fontId="5" fillId="5" borderId="17" xfId="0" applyFont="1" applyFill="1" applyBorder="1" applyAlignment="1">
      <alignment horizontal="left" wrapText="1"/>
    </xf>
    <xf numFmtId="0" fontId="5" fillId="5" borderId="11" xfId="0" applyFont="1" applyFill="1" applyBorder="1" applyAlignment="1">
      <alignment horizontal="left" wrapText="1"/>
    </xf>
    <xf numFmtId="0" fontId="11" fillId="0" borderId="0" xfId="2" applyAlignment="1">
      <alignment wrapText="1"/>
    </xf>
    <xf numFmtId="0" fontId="11" fillId="0" borderId="26" xfId="2" applyBorder="1" applyAlignment="1">
      <alignment vertical="top" wrapText="1"/>
    </xf>
  </cellXfs>
  <cellStyles count="3">
    <cellStyle name="Hyperlink" xfId="2" builtinId="8"/>
    <cellStyle name="Normal" xfId="0" builtinId="0"/>
    <cellStyle name="Percent" xfId="1" builtinId="5"/>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F2B5E"/>
      <color rgb="FF04075B"/>
      <color rgb="FF05C2AB"/>
      <color rgb="FFF7CE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HWW website visitors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26_27'!$B$2:$B$3</c:f>
              <c:strCache>
                <c:ptCount val="2"/>
                <c:pt idx="0">
                  <c:v>Website users</c:v>
                </c:pt>
                <c:pt idx="1">
                  <c:v>25-26</c:v>
                </c:pt>
              </c:strCache>
            </c:strRef>
          </c:tx>
          <c:spPr>
            <a:solidFill>
              <a:srgbClr val="04075B"/>
            </a:solidFill>
            <a:ln>
              <a:noFill/>
            </a:ln>
            <a:effectLst/>
          </c:spPr>
          <c:invertIfNegative val="0"/>
          <c:cat>
            <c:strRef>
              <c:f>'Graphs 26_27'!$A$4:$A$7</c:f>
              <c:strCache>
                <c:ptCount val="4"/>
                <c:pt idx="0">
                  <c:v>Q1</c:v>
                </c:pt>
                <c:pt idx="1">
                  <c:v>Q2</c:v>
                </c:pt>
                <c:pt idx="2">
                  <c:v>Q3</c:v>
                </c:pt>
                <c:pt idx="3">
                  <c:v>Q4</c:v>
                </c:pt>
              </c:strCache>
            </c:strRef>
          </c:cat>
          <c:val>
            <c:numRef>
              <c:f>'Graphs 26_27'!$B$4:$B$7</c:f>
              <c:numCache>
                <c:formatCode>General</c:formatCode>
                <c:ptCount val="4"/>
                <c:pt idx="0">
                  <c:v>900</c:v>
                </c:pt>
                <c:pt idx="1">
                  <c:v>500</c:v>
                </c:pt>
                <c:pt idx="2">
                  <c:v>900</c:v>
                </c:pt>
                <c:pt idx="3">
                  <c:v>800</c:v>
                </c:pt>
              </c:numCache>
            </c:numRef>
          </c:val>
          <c:extLst>
            <c:ext xmlns:c16="http://schemas.microsoft.com/office/drawing/2014/chart" uri="{C3380CC4-5D6E-409C-BE32-E72D297353CC}">
              <c16:uniqueId val="{00000000-A68D-499B-A701-76D4717F4352}"/>
            </c:ext>
          </c:extLst>
        </c:ser>
        <c:ser>
          <c:idx val="1"/>
          <c:order val="1"/>
          <c:tx>
            <c:strRef>
              <c:f>'Graphs 26_27'!$D$2:$D$3</c:f>
              <c:strCache>
                <c:ptCount val="2"/>
                <c:pt idx="0">
                  <c:v>Website users</c:v>
                </c:pt>
                <c:pt idx="1">
                  <c:v>26-27</c:v>
                </c:pt>
              </c:strCache>
            </c:strRef>
          </c:tx>
          <c:spPr>
            <a:solidFill>
              <a:srgbClr val="05C2AB"/>
            </a:solidFill>
            <a:ln>
              <a:solidFill>
                <a:srgbClr val="05C2AB"/>
              </a:solidFill>
            </a:ln>
            <a:effectLst/>
          </c:spPr>
          <c:invertIfNegative val="0"/>
          <c:cat>
            <c:strRef>
              <c:f>'Graphs 26_27'!$A$4:$A$7</c:f>
              <c:strCache>
                <c:ptCount val="4"/>
                <c:pt idx="0">
                  <c:v>Q1</c:v>
                </c:pt>
                <c:pt idx="1">
                  <c:v>Q2</c:v>
                </c:pt>
                <c:pt idx="2">
                  <c:v>Q3</c:v>
                </c:pt>
                <c:pt idx="3">
                  <c:v>Q4</c:v>
                </c:pt>
              </c:strCache>
            </c:strRef>
          </c:cat>
          <c:val>
            <c:numRef>
              <c:f>'Graphs 26_27'!$D$4:$D$7</c:f>
              <c:numCache>
                <c:formatCode>General</c:formatCode>
                <c:ptCount val="4"/>
                <c:pt idx="0">
                  <c:v>1087</c:v>
                </c:pt>
                <c:pt idx="1">
                  <c:v>4346</c:v>
                </c:pt>
              </c:numCache>
            </c:numRef>
          </c:val>
          <c:extLst>
            <c:ext xmlns:c16="http://schemas.microsoft.com/office/drawing/2014/chart" uri="{C3380CC4-5D6E-409C-BE32-E72D297353CC}">
              <c16:uniqueId val="{00000001-A68D-499B-A701-76D4717F4352}"/>
            </c:ext>
          </c:extLst>
        </c:ser>
        <c:dLbls>
          <c:showLegendKey val="0"/>
          <c:showVal val="0"/>
          <c:showCatName val="0"/>
          <c:showSerName val="0"/>
          <c:showPercent val="0"/>
          <c:showBubbleSize val="0"/>
        </c:dLbls>
        <c:gapWidth val="219"/>
        <c:axId val="665502000"/>
        <c:axId val="665503920"/>
      </c:barChart>
      <c:lineChart>
        <c:grouping val="standard"/>
        <c:varyColors val="0"/>
        <c:ser>
          <c:idx val="2"/>
          <c:order val="2"/>
          <c:tx>
            <c:v>Cumulative 25-26</c:v>
          </c:tx>
          <c:spPr>
            <a:ln w="28575" cap="rnd">
              <a:solidFill>
                <a:srgbClr val="EF2B5E"/>
              </a:solidFill>
              <a:round/>
            </a:ln>
            <a:effectLst/>
          </c:spPr>
          <c:marker>
            <c:symbol val="none"/>
          </c:marker>
          <c:val>
            <c:numRef>
              <c:f>'Graphs 26_27'!$C$4:$C$7</c:f>
              <c:numCache>
                <c:formatCode>General</c:formatCode>
                <c:ptCount val="4"/>
                <c:pt idx="0">
                  <c:v>900</c:v>
                </c:pt>
                <c:pt idx="1">
                  <c:v>1400</c:v>
                </c:pt>
                <c:pt idx="2">
                  <c:v>2300</c:v>
                </c:pt>
                <c:pt idx="3">
                  <c:v>3100</c:v>
                </c:pt>
              </c:numCache>
            </c:numRef>
          </c:val>
          <c:smooth val="0"/>
          <c:extLst>
            <c:ext xmlns:c16="http://schemas.microsoft.com/office/drawing/2014/chart" uri="{C3380CC4-5D6E-409C-BE32-E72D297353CC}">
              <c16:uniqueId val="{00000001-656C-4B14-B4C1-512ED2F73C27}"/>
            </c:ext>
          </c:extLst>
        </c:ser>
        <c:dLbls>
          <c:showLegendKey val="0"/>
          <c:showVal val="0"/>
          <c:showCatName val="0"/>
          <c:showSerName val="0"/>
          <c:showPercent val="0"/>
          <c:showBubbleSize val="0"/>
        </c:dLbls>
        <c:marker val="1"/>
        <c:smooth val="0"/>
        <c:axId val="2032807776"/>
        <c:axId val="2032814496"/>
        <c:extLst>
          <c:ext xmlns:c15="http://schemas.microsoft.com/office/drawing/2012/chart" uri="{02D57815-91ED-43cb-92C2-25804820EDAC}">
            <c15:filteredLineSeries>
              <c15:ser>
                <c:idx val="3"/>
                <c:order val="3"/>
                <c:tx>
                  <c:v>Cumulative 26-27</c:v>
                </c:tx>
                <c:spPr>
                  <a:ln w="28575" cap="rnd">
                    <a:solidFill>
                      <a:schemeClr val="accent4"/>
                    </a:solidFill>
                    <a:round/>
                  </a:ln>
                  <a:effectLst/>
                </c:spPr>
                <c:marker>
                  <c:symbol val="none"/>
                </c:marker>
                <c:val>
                  <c:numRef>
                    <c:extLst>
                      <c:ext uri="{02D57815-91ED-43cb-92C2-25804820EDAC}">
                        <c15:formulaRef>
                          <c15:sqref>'Graphs 26_27'!$E$4:$E$7</c15:sqref>
                        </c15:formulaRef>
                      </c:ext>
                    </c:extLst>
                    <c:numCache>
                      <c:formatCode>General</c:formatCode>
                      <c:ptCount val="4"/>
                      <c:pt idx="0">
                        <c:v>1087</c:v>
                      </c:pt>
                      <c:pt idx="1">
                        <c:v>5433</c:v>
                      </c:pt>
                    </c:numCache>
                  </c:numRef>
                </c:val>
                <c:smooth val="0"/>
                <c:extLst>
                  <c:ext xmlns:c16="http://schemas.microsoft.com/office/drawing/2014/chart" uri="{C3380CC4-5D6E-409C-BE32-E72D297353CC}">
                    <c16:uniqueId val="{00000002-656C-4B14-B4C1-512ED2F73C27}"/>
                  </c:ext>
                </c:extLst>
              </c15:ser>
            </c15:filteredLineSeries>
          </c:ext>
        </c:extLst>
      </c:lineChart>
      <c:catAx>
        <c:axId val="66550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03920"/>
        <c:crosses val="autoZero"/>
        <c:auto val="1"/>
        <c:lblAlgn val="ctr"/>
        <c:lblOffset val="100"/>
        <c:noMultiLvlLbl val="0"/>
      </c:catAx>
      <c:valAx>
        <c:axId val="66550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Quarterly visitor</a:t>
                </a:r>
                <a:r>
                  <a:rPr lang="en-GB" baseline="0"/>
                  <a:t>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02000"/>
        <c:crosses val="autoZero"/>
        <c:crossBetween val="between"/>
      </c:valAx>
      <c:valAx>
        <c:axId val="203281449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Cumulative vistor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807776"/>
        <c:crosses val="max"/>
        <c:crossBetween val="between"/>
      </c:valAx>
      <c:catAx>
        <c:axId val="2032807776"/>
        <c:scaling>
          <c:orientation val="minMax"/>
        </c:scaling>
        <c:delete val="1"/>
        <c:axPos val="b"/>
        <c:majorTickMark val="out"/>
        <c:minorTickMark val="none"/>
        <c:tickLblPos val="nextTo"/>
        <c:crossAx val="2032814496"/>
        <c:crosses val="autoZero"/>
        <c:auto val="1"/>
        <c:lblAlgn val="ctr"/>
        <c:lblOffset val="100"/>
        <c:noMultiLvlLbl val="0"/>
      </c:catAx>
      <c:spPr>
        <a:noFill/>
        <a:ln>
          <a:noFill/>
        </a:ln>
        <a:effectLst/>
      </c:spPr>
    </c:plotArea>
    <c:legend>
      <c:legendPos val="b"/>
      <c:layout>
        <c:manualLayout>
          <c:xMode val="edge"/>
          <c:yMode val="edge"/>
          <c:x val="1.7774096874451913E-2"/>
          <c:y val="0.83914241607244677"/>
          <c:w val="0.9713693868191221"/>
          <c:h val="0.135625177570576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HWW website sessions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26_27'!$B$10:$B$11</c:f>
              <c:strCache>
                <c:ptCount val="2"/>
                <c:pt idx="0">
                  <c:v>Website sessions</c:v>
                </c:pt>
                <c:pt idx="1">
                  <c:v>25-26</c:v>
                </c:pt>
              </c:strCache>
            </c:strRef>
          </c:tx>
          <c:spPr>
            <a:solidFill>
              <a:srgbClr val="04075B"/>
            </a:solidFill>
            <a:ln>
              <a:noFill/>
            </a:ln>
            <a:effectLst/>
          </c:spPr>
          <c:invertIfNegative val="0"/>
          <c:cat>
            <c:strRef>
              <c:f>'Graphs 26_27'!$A$12:$A$15</c:f>
              <c:strCache>
                <c:ptCount val="4"/>
                <c:pt idx="0">
                  <c:v>Q1</c:v>
                </c:pt>
                <c:pt idx="1">
                  <c:v>Q2</c:v>
                </c:pt>
                <c:pt idx="2">
                  <c:v>Q3</c:v>
                </c:pt>
                <c:pt idx="3">
                  <c:v>Q4</c:v>
                </c:pt>
              </c:strCache>
            </c:strRef>
          </c:cat>
          <c:val>
            <c:numRef>
              <c:f>'Graphs 26_27'!$B$12:$B$15</c:f>
              <c:numCache>
                <c:formatCode>General</c:formatCode>
                <c:ptCount val="4"/>
                <c:pt idx="0">
                  <c:v>900</c:v>
                </c:pt>
                <c:pt idx="1">
                  <c:v>500</c:v>
                </c:pt>
                <c:pt idx="2">
                  <c:v>900</c:v>
                </c:pt>
                <c:pt idx="3">
                  <c:v>800</c:v>
                </c:pt>
              </c:numCache>
            </c:numRef>
          </c:val>
          <c:extLst>
            <c:ext xmlns:c16="http://schemas.microsoft.com/office/drawing/2014/chart" uri="{C3380CC4-5D6E-409C-BE32-E72D297353CC}">
              <c16:uniqueId val="{00000000-F87B-4DEF-B0C3-486437241015}"/>
            </c:ext>
          </c:extLst>
        </c:ser>
        <c:ser>
          <c:idx val="1"/>
          <c:order val="1"/>
          <c:tx>
            <c:strRef>
              <c:f>'Graphs 26_27'!$D$10:$D$11</c:f>
              <c:strCache>
                <c:ptCount val="2"/>
                <c:pt idx="0">
                  <c:v>Website sessions</c:v>
                </c:pt>
                <c:pt idx="1">
                  <c:v>26-27</c:v>
                </c:pt>
              </c:strCache>
            </c:strRef>
          </c:tx>
          <c:spPr>
            <a:solidFill>
              <a:srgbClr val="05C2AB"/>
            </a:solidFill>
            <a:ln>
              <a:noFill/>
            </a:ln>
            <a:effectLst/>
          </c:spPr>
          <c:invertIfNegative val="0"/>
          <c:cat>
            <c:strRef>
              <c:f>'Graphs 26_27'!$A$12:$A$15</c:f>
              <c:strCache>
                <c:ptCount val="4"/>
                <c:pt idx="0">
                  <c:v>Q1</c:v>
                </c:pt>
                <c:pt idx="1">
                  <c:v>Q2</c:v>
                </c:pt>
                <c:pt idx="2">
                  <c:v>Q3</c:v>
                </c:pt>
                <c:pt idx="3">
                  <c:v>Q4</c:v>
                </c:pt>
              </c:strCache>
            </c:strRef>
          </c:cat>
          <c:val>
            <c:numRef>
              <c:f>'Graphs 26_27'!$D$12:$D$15</c:f>
              <c:numCache>
                <c:formatCode>General</c:formatCode>
                <c:ptCount val="4"/>
                <c:pt idx="0">
                  <c:v>3000</c:v>
                </c:pt>
                <c:pt idx="1">
                  <c:v>3000</c:v>
                </c:pt>
              </c:numCache>
            </c:numRef>
          </c:val>
          <c:extLst>
            <c:ext xmlns:c16="http://schemas.microsoft.com/office/drawing/2014/chart" uri="{C3380CC4-5D6E-409C-BE32-E72D297353CC}">
              <c16:uniqueId val="{00000001-F87B-4DEF-B0C3-486437241015}"/>
            </c:ext>
          </c:extLst>
        </c:ser>
        <c:dLbls>
          <c:showLegendKey val="0"/>
          <c:showVal val="0"/>
          <c:showCatName val="0"/>
          <c:showSerName val="0"/>
          <c:showPercent val="0"/>
          <c:showBubbleSize val="0"/>
        </c:dLbls>
        <c:gapWidth val="219"/>
        <c:axId val="1082354352"/>
        <c:axId val="1082353392"/>
      </c:barChart>
      <c:lineChart>
        <c:grouping val="standard"/>
        <c:varyColors val="0"/>
        <c:ser>
          <c:idx val="2"/>
          <c:order val="2"/>
          <c:tx>
            <c:v>Cumulative 25-26</c:v>
          </c:tx>
          <c:spPr>
            <a:ln w="28575" cap="rnd">
              <a:solidFill>
                <a:srgbClr val="EF2B5E"/>
              </a:solidFill>
              <a:round/>
            </a:ln>
            <a:effectLst/>
          </c:spPr>
          <c:marker>
            <c:symbol val="none"/>
          </c:marker>
          <c:val>
            <c:numRef>
              <c:f>'Graphs 26_27'!$C$12:$C$15</c:f>
              <c:numCache>
                <c:formatCode>General</c:formatCode>
                <c:ptCount val="4"/>
                <c:pt idx="0">
                  <c:v>900</c:v>
                </c:pt>
                <c:pt idx="1">
                  <c:v>1400</c:v>
                </c:pt>
                <c:pt idx="2">
                  <c:v>2300</c:v>
                </c:pt>
                <c:pt idx="3">
                  <c:v>3100</c:v>
                </c:pt>
              </c:numCache>
            </c:numRef>
          </c:val>
          <c:smooth val="0"/>
          <c:extLst>
            <c:ext xmlns:c16="http://schemas.microsoft.com/office/drawing/2014/chart" uri="{C3380CC4-5D6E-409C-BE32-E72D297353CC}">
              <c16:uniqueId val="{00000000-2D4B-48B9-A9DA-B30E124D14B0}"/>
            </c:ext>
          </c:extLst>
        </c:ser>
        <c:dLbls>
          <c:showLegendKey val="0"/>
          <c:showVal val="0"/>
          <c:showCatName val="0"/>
          <c:showSerName val="0"/>
          <c:showPercent val="0"/>
          <c:showBubbleSize val="0"/>
        </c:dLbls>
        <c:marker val="1"/>
        <c:smooth val="0"/>
        <c:axId val="1796427056"/>
        <c:axId val="1796426096"/>
      </c:lineChart>
      <c:catAx>
        <c:axId val="108235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53392"/>
        <c:crosses val="autoZero"/>
        <c:auto val="1"/>
        <c:lblAlgn val="ctr"/>
        <c:lblOffset val="100"/>
        <c:noMultiLvlLbl val="0"/>
      </c:catAx>
      <c:valAx>
        <c:axId val="1082353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Quarterly</a:t>
                </a:r>
                <a:r>
                  <a:rPr lang="en-GB" baseline="0"/>
                  <a:t> sessions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54352"/>
        <c:crosses val="autoZero"/>
        <c:crossBetween val="between"/>
      </c:valAx>
      <c:valAx>
        <c:axId val="179642609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Cumulative sessions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427056"/>
        <c:crosses val="max"/>
        <c:crossBetween val="between"/>
      </c:valAx>
      <c:catAx>
        <c:axId val="1796427056"/>
        <c:scaling>
          <c:orientation val="minMax"/>
        </c:scaling>
        <c:delete val="1"/>
        <c:axPos val="b"/>
        <c:majorTickMark val="out"/>
        <c:minorTickMark val="none"/>
        <c:tickLblPos val="nextTo"/>
        <c:crossAx val="1796426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Registered</a:t>
            </a:r>
            <a:r>
              <a:rPr lang="en-GB" baseline="0"/>
              <a:t> HWW website accounts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v>New accounts per quarter</c:v>
          </c:tx>
          <c:spPr>
            <a:solidFill>
              <a:srgbClr val="04075B"/>
            </a:solidFill>
            <a:ln>
              <a:noFill/>
            </a:ln>
            <a:effectLst/>
          </c:spPr>
          <c:invertIfNegative val="0"/>
          <c:cat>
            <c:multiLvlStrRef>
              <c:f>'Graphs 26_27'!$A$32:$B$35</c:f>
              <c:multiLvlStrCache>
                <c:ptCount val="4"/>
                <c:lvl>
                  <c:pt idx="0">
                    <c:v>Q3</c:v>
                  </c:pt>
                  <c:pt idx="1">
                    <c:v>Q4</c:v>
                  </c:pt>
                  <c:pt idx="2">
                    <c:v>Q1</c:v>
                  </c:pt>
                  <c:pt idx="3">
                    <c:v>Q2</c:v>
                  </c:pt>
                </c:lvl>
                <c:lvl>
                  <c:pt idx="0">
                    <c:v>2025-26</c:v>
                  </c:pt>
                  <c:pt idx="2">
                    <c:v>2026-27</c:v>
                  </c:pt>
                </c:lvl>
              </c:multiLvlStrCache>
            </c:multiLvlStrRef>
          </c:cat>
          <c:val>
            <c:numRef>
              <c:f>'Graphs 26_27'!$C$32:$C$35</c:f>
              <c:numCache>
                <c:formatCode>General</c:formatCode>
                <c:ptCount val="4"/>
                <c:pt idx="0">
                  <c:v>50</c:v>
                </c:pt>
                <c:pt idx="1">
                  <c:v>50</c:v>
                </c:pt>
                <c:pt idx="2">
                  <c:v>50</c:v>
                </c:pt>
                <c:pt idx="3">
                  <c:v>50</c:v>
                </c:pt>
              </c:numCache>
            </c:numRef>
          </c:val>
          <c:extLst>
            <c:ext xmlns:c16="http://schemas.microsoft.com/office/drawing/2014/chart" uri="{C3380CC4-5D6E-409C-BE32-E72D297353CC}">
              <c16:uniqueId val="{00000000-BA8A-4D26-B507-CCA762543B3F}"/>
            </c:ext>
          </c:extLst>
        </c:ser>
        <c:dLbls>
          <c:showLegendKey val="0"/>
          <c:showVal val="0"/>
          <c:showCatName val="0"/>
          <c:showSerName val="0"/>
          <c:showPercent val="0"/>
          <c:showBubbleSize val="0"/>
        </c:dLbls>
        <c:gapWidth val="219"/>
        <c:axId val="1866664144"/>
        <c:axId val="1866666064"/>
      </c:barChart>
      <c:lineChart>
        <c:grouping val="standard"/>
        <c:varyColors val="0"/>
        <c:ser>
          <c:idx val="1"/>
          <c:order val="1"/>
          <c:tx>
            <c:v>Cumulative accounts</c:v>
          </c:tx>
          <c:spPr>
            <a:ln w="28575" cap="rnd">
              <a:solidFill>
                <a:srgbClr val="EF2B5E"/>
              </a:solidFill>
              <a:round/>
            </a:ln>
            <a:effectLst/>
          </c:spPr>
          <c:marker>
            <c:symbol val="none"/>
          </c:marker>
          <c:cat>
            <c:multiLvlStrRef>
              <c:f>'Graphs 26_27'!$A$32:$B$35</c:f>
              <c:multiLvlStrCache>
                <c:ptCount val="4"/>
                <c:lvl>
                  <c:pt idx="0">
                    <c:v>Q3</c:v>
                  </c:pt>
                  <c:pt idx="1">
                    <c:v>Q4</c:v>
                  </c:pt>
                  <c:pt idx="2">
                    <c:v>Q1</c:v>
                  </c:pt>
                  <c:pt idx="3">
                    <c:v>Q2</c:v>
                  </c:pt>
                </c:lvl>
                <c:lvl>
                  <c:pt idx="0">
                    <c:v>2025-26</c:v>
                  </c:pt>
                  <c:pt idx="2">
                    <c:v>2026-27</c:v>
                  </c:pt>
                </c:lvl>
              </c:multiLvlStrCache>
            </c:multiLvlStrRef>
          </c:cat>
          <c:val>
            <c:numRef>
              <c:f>'Graphs 26_27'!$D$32:$D$35</c:f>
              <c:numCache>
                <c:formatCode>General</c:formatCode>
                <c:ptCount val="4"/>
                <c:pt idx="0">
                  <c:v>50</c:v>
                </c:pt>
                <c:pt idx="1">
                  <c:v>100</c:v>
                </c:pt>
                <c:pt idx="2">
                  <c:v>150</c:v>
                </c:pt>
                <c:pt idx="3">
                  <c:v>200</c:v>
                </c:pt>
              </c:numCache>
            </c:numRef>
          </c:val>
          <c:smooth val="0"/>
          <c:extLst>
            <c:ext xmlns:c16="http://schemas.microsoft.com/office/drawing/2014/chart" uri="{C3380CC4-5D6E-409C-BE32-E72D297353CC}">
              <c16:uniqueId val="{00000001-BA8A-4D26-B507-CCA762543B3F}"/>
            </c:ext>
          </c:extLst>
        </c:ser>
        <c:dLbls>
          <c:showLegendKey val="0"/>
          <c:showVal val="0"/>
          <c:showCatName val="0"/>
          <c:showSerName val="0"/>
          <c:showPercent val="0"/>
          <c:showBubbleSize val="0"/>
        </c:dLbls>
        <c:marker val="1"/>
        <c:smooth val="0"/>
        <c:axId val="1807618720"/>
        <c:axId val="1807614400"/>
      </c:lineChart>
      <c:catAx>
        <c:axId val="186666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Financial</a:t>
                </a:r>
                <a:r>
                  <a:rPr lang="en-GB" baseline="0"/>
                  <a:t> year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66064"/>
        <c:crosses val="autoZero"/>
        <c:auto val="1"/>
        <c:lblAlgn val="ctr"/>
        <c:lblOffset val="100"/>
        <c:noMultiLvlLbl val="0"/>
      </c:catAx>
      <c:valAx>
        <c:axId val="186666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t>Ne</a:t>
                </a:r>
                <a:r>
                  <a:rPr lang="en-GB"/>
                  <a:t>w accounts per quarter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64144"/>
        <c:crosses val="autoZero"/>
        <c:crossBetween val="between"/>
      </c:valAx>
      <c:valAx>
        <c:axId val="180761440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Cumulative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618720"/>
        <c:crosses val="max"/>
        <c:crossBetween val="between"/>
      </c:valAx>
      <c:catAx>
        <c:axId val="1807618720"/>
        <c:scaling>
          <c:orientation val="minMax"/>
        </c:scaling>
        <c:delete val="1"/>
        <c:axPos val="b"/>
        <c:numFmt formatCode="General" sourceLinked="1"/>
        <c:majorTickMark val="out"/>
        <c:minorTickMark val="none"/>
        <c:tickLblPos val="nextTo"/>
        <c:crossAx val="18076144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HWW newsletter sign-ups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26_27'!$C$38</c:f>
              <c:strCache>
                <c:ptCount val="1"/>
                <c:pt idx="0">
                  <c:v>New sign-ups</c:v>
                </c:pt>
              </c:strCache>
            </c:strRef>
          </c:tx>
          <c:spPr>
            <a:solidFill>
              <a:srgbClr val="04075B"/>
            </a:solidFill>
            <a:ln>
              <a:noFill/>
            </a:ln>
            <a:effectLst/>
          </c:spPr>
          <c:invertIfNegative val="0"/>
          <c:cat>
            <c:multiLvlStrRef>
              <c:f>'Graphs 26_27'!$A$39:$B$44</c:f>
              <c:multiLvlStrCache>
                <c:ptCount val="6"/>
                <c:lvl>
                  <c:pt idx="0">
                    <c:v>Q1</c:v>
                  </c:pt>
                  <c:pt idx="1">
                    <c:v>Q2</c:v>
                  </c:pt>
                  <c:pt idx="2">
                    <c:v>Q3</c:v>
                  </c:pt>
                  <c:pt idx="3">
                    <c:v>Q4</c:v>
                  </c:pt>
                  <c:pt idx="4">
                    <c:v>Q1</c:v>
                  </c:pt>
                  <c:pt idx="5">
                    <c:v>Q2</c:v>
                  </c:pt>
                </c:lvl>
                <c:lvl>
                  <c:pt idx="0">
                    <c:v>2025-26</c:v>
                  </c:pt>
                  <c:pt idx="4">
                    <c:v>2026-27</c:v>
                  </c:pt>
                </c:lvl>
              </c:multiLvlStrCache>
            </c:multiLvlStrRef>
          </c:cat>
          <c:val>
            <c:numRef>
              <c:f>'Graphs 26_27'!$C$39:$C$44</c:f>
              <c:numCache>
                <c:formatCode>General</c:formatCode>
                <c:ptCount val="6"/>
                <c:pt idx="0">
                  <c:v>50</c:v>
                </c:pt>
                <c:pt idx="1">
                  <c:v>50</c:v>
                </c:pt>
                <c:pt idx="2">
                  <c:v>50</c:v>
                </c:pt>
                <c:pt idx="3">
                  <c:v>50</c:v>
                </c:pt>
                <c:pt idx="4">
                  <c:v>50</c:v>
                </c:pt>
                <c:pt idx="5">
                  <c:v>50</c:v>
                </c:pt>
              </c:numCache>
            </c:numRef>
          </c:val>
          <c:extLst>
            <c:ext xmlns:c16="http://schemas.microsoft.com/office/drawing/2014/chart" uri="{C3380CC4-5D6E-409C-BE32-E72D297353CC}">
              <c16:uniqueId val="{00000000-3769-4272-A5DA-C06E274935F6}"/>
            </c:ext>
          </c:extLst>
        </c:ser>
        <c:dLbls>
          <c:showLegendKey val="0"/>
          <c:showVal val="0"/>
          <c:showCatName val="0"/>
          <c:showSerName val="0"/>
          <c:showPercent val="0"/>
          <c:showBubbleSize val="0"/>
        </c:dLbls>
        <c:gapWidth val="219"/>
        <c:axId val="1900597312"/>
        <c:axId val="1900605952"/>
      </c:barChart>
      <c:lineChart>
        <c:grouping val="standard"/>
        <c:varyColors val="0"/>
        <c:ser>
          <c:idx val="1"/>
          <c:order val="1"/>
          <c:tx>
            <c:strRef>
              <c:f>'Graphs 26_27'!$D$38</c:f>
              <c:strCache>
                <c:ptCount val="1"/>
                <c:pt idx="0">
                  <c:v>Cumulative sign-ups</c:v>
                </c:pt>
              </c:strCache>
            </c:strRef>
          </c:tx>
          <c:spPr>
            <a:ln w="28575" cap="rnd">
              <a:solidFill>
                <a:srgbClr val="EF2B5E"/>
              </a:solidFill>
              <a:round/>
            </a:ln>
            <a:effectLst/>
          </c:spPr>
          <c:marker>
            <c:symbol val="none"/>
          </c:marker>
          <c:cat>
            <c:multiLvlStrRef>
              <c:f>'Graphs 26_27'!$A$39:$B$44</c:f>
              <c:multiLvlStrCache>
                <c:ptCount val="6"/>
                <c:lvl>
                  <c:pt idx="0">
                    <c:v>Q1</c:v>
                  </c:pt>
                  <c:pt idx="1">
                    <c:v>Q2</c:v>
                  </c:pt>
                  <c:pt idx="2">
                    <c:v>Q3</c:v>
                  </c:pt>
                  <c:pt idx="3">
                    <c:v>Q4</c:v>
                  </c:pt>
                  <c:pt idx="4">
                    <c:v>Q1</c:v>
                  </c:pt>
                  <c:pt idx="5">
                    <c:v>Q2</c:v>
                  </c:pt>
                </c:lvl>
                <c:lvl>
                  <c:pt idx="0">
                    <c:v>2025-26</c:v>
                  </c:pt>
                  <c:pt idx="4">
                    <c:v>2026-27</c:v>
                  </c:pt>
                </c:lvl>
              </c:multiLvlStrCache>
            </c:multiLvlStrRef>
          </c:cat>
          <c:val>
            <c:numRef>
              <c:f>'Graphs 26_27'!$D$39:$D$44</c:f>
              <c:numCache>
                <c:formatCode>General</c:formatCode>
                <c:ptCount val="6"/>
                <c:pt idx="0">
                  <c:v>50</c:v>
                </c:pt>
                <c:pt idx="1">
                  <c:v>100</c:v>
                </c:pt>
                <c:pt idx="2">
                  <c:v>150</c:v>
                </c:pt>
                <c:pt idx="3">
                  <c:v>200</c:v>
                </c:pt>
                <c:pt idx="4">
                  <c:v>250</c:v>
                </c:pt>
                <c:pt idx="5">
                  <c:v>300</c:v>
                </c:pt>
              </c:numCache>
            </c:numRef>
          </c:val>
          <c:smooth val="0"/>
          <c:extLst>
            <c:ext xmlns:c16="http://schemas.microsoft.com/office/drawing/2014/chart" uri="{C3380CC4-5D6E-409C-BE32-E72D297353CC}">
              <c16:uniqueId val="{00000001-3769-4272-A5DA-C06E274935F6}"/>
            </c:ext>
          </c:extLst>
        </c:ser>
        <c:dLbls>
          <c:showLegendKey val="0"/>
          <c:showVal val="0"/>
          <c:showCatName val="0"/>
          <c:showSerName val="0"/>
          <c:showPercent val="0"/>
          <c:showBubbleSize val="0"/>
        </c:dLbls>
        <c:marker val="1"/>
        <c:smooth val="0"/>
        <c:axId val="1865578448"/>
        <c:axId val="1865578928"/>
      </c:lineChart>
      <c:catAx>
        <c:axId val="1900597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Financial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605952"/>
        <c:crosses val="autoZero"/>
        <c:auto val="1"/>
        <c:lblAlgn val="ctr"/>
        <c:lblOffset val="100"/>
        <c:noMultiLvlLbl val="0"/>
      </c:catAx>
      <c:valAx>
        <c:axId val="190060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New sign-ups per quarter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597312"/>
        <c:crosses val="autoZero"/>
        <c:crossBetween val="between"/>
      </c:valAx>
      <c:valAx>
        <c:axId val="18655789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Cumulative  new sign-ups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78448"/>
        <c:crosses val="max"/>
        <c:crossBetween val="between"/>
      </c:valAx>
      <c:catAx>
        <c:axId val="1865578448"/>
        <c:scaling>
          <c:orientation val="minMax"/>
        </c:scaling>
        <c:delete val="1"/>
        <c:axPos val="b"/>
        <c:numFmt formatCode="General" sourceLinked="1"/>
        <c:majorTickMark val="out"/>
        <c:minorTickMark val="none"/>
        <c:tickLblPos val="nextTo"/>
        <c:crossAx val="18655789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HWW survey completions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26_27'!$C$47:$C$49</c:f>
              <c:strCache>
                <c:ptCount val="3"/>
                <c:pt idx="0">
                  <c:v>Survey completions</c:v>
                </c:pt>
              </c:strCache>
            </c:strRef>
          </c:tx>
          <c:spPr>
            <a:solidFill>
              <a:srgbClr val="04075B"/>
            </a:solidFill>
            <a:ln>
              <a:noFill/>
            </a:ln>
            <a:effectLst/>
          </c:spPr>
          <c:invertIfNegative val="0"/>
          <c:cat>
            <c:multiLvlStrRef>
              <c:f>'Graphs 26_27'!$A$50:$B$53</c:f>
              <c:multiLvlStrCache>
                <c:ptCount val="4"/>
                <c:lvl>
                  <c:pt idx="0">
                    <c:v>Q3</c:v>
                  </c:pt>
                  <c:pt idx="1">
                    <c:v>Q4</c:v>
                  </c:pt>
                  <c:pt idx="2">
                    <c:v>Q1</c:v>
                  </c:pt>
                  <c:pt idx="3">
                    <c:v>Q2</c:v>
                  </c:pt>
                </c:lvl>
                <c:lvl>
                  <c:pt idx="0">
                    <c:v>2025-26</c:v>
                  </c:pt>
                  <c:pt idx="2">
                    <c:v>2026-27</c:v>
                  </c:pt>
                </c:lvl>
              </c:multiLvlStrCache>
            </c:multiLvlStrRef>
          </c:cat>
          <c:val>
            <c:numRef>
              <c:f>'Graphs 26_27'!$C$50:$C$53</c:f>
              <c:numCache>
                <c:formatCode>General</c:formatCode>
                <c:ptCount val="4"/>
                <c:pt idx="0">
                  <c:v>50</c:v>
                </c:pt>
                <c:pt idx="1">
                  <c:v>50</c:v>
                </c:pt>
                <c:pt idx="2">
                  <c:v>50</c:v>
                </c:pt>
                <c:pt idx="3">
                  <c:v>50</c:v>
                </c:pt>
              </c:numCache>
            </c:numRef>
          </c:val>
          <c:extLst>
            <c:ext xmlns:c16="http://schemas.microsoft.com/office/drawing/2014/chart" uri="{C3380CC4-5D6E-409C-BE32-E72D297353CC}">
              <c16:uniqueId val="{00000000-EE01-4DAE-86AA-268EC877F698}"/>
            </c:ext>
          </c:extLst>
        </c:ser>
        <c:dLbls>
          <c:showLegendKey val="0"/>
          <c:showVal val="0"/>
          <c:showCatName val="0"/>
          <c:showSerName val="0"/>
          <c:showPercent val="0"/>
          <c:showBubbleSize val="0"/>
        </c:dLbls>
        <c:gapWidth val="219"/>
        <c:axId val="1910858848"/>
        <c:axId val="1910860288"/>
      </c:barChart>
      <c:lineChart>
        <c:grouping val="standard"/>
        <c:varyColors val="0"/>
        <c:ser>
          <c:idx val="1"/>
          <c:order val="1"/>
          <c:tx>
            <c:strRef>
              <c:f>'Graphs 26_27'!$D$47:$D$49</c:f>
              <c:strCache>
                <c:ptCount val="3"/>
                <c:pt idx="0">
                  <c:v>Cumulative completions</c:v>
                </c:pt>
              </c:strCache>
            </c:strRef>
          </c:tx>
          <c:spPr>
            <a:ln w="28575" cap="rnd">
              <a:solidFill>
                <a:srgbClr val="EF2B5E"/>
              </a:solidFill>
              <a:round/>
            </a:ln>
            <a:effectLst/>
          </c:spPr>
          <c:marker>
            <c:symbol val="none"/>
          </c:marker>
          <c:cat>
            <c:multiLvlStrRef>
              <c:f>'Graphs 26_27'!$A$50:$B$53</c:f>
              <c:multiLvlStrCache>
                <c:ptCount val="4"/>
                <c:lvl>
                  <c:pt idx="0">
                    <c:v>Q3</c:v>
                  </c:pt>
                  <c:pt idx="1">
                    <c:v>Q4</c:v>
                  </c:pt>
                  <c:pt idx="2">
                    <c:v>Q1</c:v>
                  </c:pt>
                  <c:pt idx="3">
                    <c:v>Q2</c:v>
                  </c:pt>
                </c:lvl>
                <c:lvl>
                  <c:pt idx="0">
                    <c:v>2025-26</c:v>
                  </c:pt>
                  <c:pt idx="2">
                    <c:v>2026-27</c:v>
                  </c:pt>
                </c:lvl>
              </c:multiLvlStrCache>
            </c:multiLvlStrRef>
          </c:cat>
          <c:val>
            <c:numRef>
              <c:f>'Graphs 26_27'!$D$50:$D$53</c:f>
              <c:numCache>
                <c:formatCode>General</c:formatCode>
                <c:ptCount val="4"/>
                <c:pt idx="0">
                  <c:v>50</c:v>
                </c:pt>
                <c:pt idx="1">
                  <c:v>100</c:v>
                </c:pt>
                <c:pt idx="2">
                  <c:v>150</c:v>
                </c:pt>
                <c:pt idx="3">
                  <c:v>200</c:v>
                </c:pt>
              </c:numCache>
            </c:numRef>
          </c:val>
          <c:smooth val="0"/>
          <c:extLst>
            <c:ext xmlns:c16="http://schemas.microsoft.com/office/drawing/2014/chart" uri="{C3380CC4-5D6E-409C-BE32-E72D297353CC}">
              <c16:uniqueId val="{00000001-EE01-4DAE-86AA-268EC877F698}"/>
            </c:ext>
          </c:extLst>
        </c:ser>
        <c:dLbls>
          <c:showLegendKey val="0"/>
          <c:showVal val="0"/>
          <c:showCatName val="0"/>
          <c:showSerName val="0"/>
          <c:showPercent val="0"/>
          <c:showBubbleSize val="0"/>
        </c:dLbls>
        <c:marker val="1"/>
        <c:smooth val="0"/>
        <c:axId val="1366905504"/>
        <c:axId val="1366911264"/>
      </c:lineChart>
      <c:catAx>
        <c:axId val="1910858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Financial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860288"/>
        <c:crosses val="autoZero"/>
        <c:auto val="1"/>
        <c:lblAlgn val="ctr"/>
        <c:lblOffset val="100"/>
        <c:noMultiLvlLbl val="0"/>
      </c:catAx>
      <c:valAx>
        <c:axId val="191086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Survey completion count per quarter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858848"/>
        <c:crosses val="autoZero"/>
        <c:crossBetween val="between"/>
      </c:valAx>
      <c:valAx>
        <c:axId val="13669112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Cumulative</a:t>
                </a:r>
                <a:r>
                  <a:rPr lang="en-GB" baseline="0"/>
                  <a:t>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05504"/>
        <c:crosses val="max"/>
        <c:crossBetween val="between"/>
      </c:valAx>
      <c:catAx>
        <c:axId val="1366905504"/>
        <c:scaling>
          <c:orientation val="minMax"/>
        </c:scaling>
        <c:delete val="1"/>
        <c:axPos val="b"/>
        <c:numFmt formatCode="General" sourceLinked="1"/>
        <c:majorTickMark val="out"/>
        <c:minorTickMark val="none"/>
        <c:tickLblPos val="nextTo"/>
        <c:crossAx val="13669112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HWW social media followers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Quarterly new followers</c:v>
          </c:tx>
          <c:spPr>
            <a:solidFill>
              <a:srgbClr val="04075B"/>
            </a:solidFill>
            <a:ln>
              <a:noFill/>
            </a:ln>
            <a:effectLst/>
          </c:spPr>
          <c:invertIfNegative val="0"/>
          <c:cat>
            <c:multiLvlStrRef>
              <c:f>'Graphs 26_27'!$A$20:$B$25</c:f>
              <c:multiLvlStrCache>
                <c:ptCount val="6"/>
                <c:lvl>
                  <c:pt idx="0">
                    <c:v>Q1</c:v>
                  </c:pt>
                  <c:pt idx="1">
                    <c:v>Q2</c:v>
                  </c:pt>
                  <c:pt idx="2">
                    <c:v>Q3</c:v>
                  </c:pt>
                  <c:pt idx="3">
                    <c:v>Q4</c:v>
                  </c:pt>
                  <c:pt idx="4">
                    <c:v>Q1</c:v>
                  </c:pt>
                  <c:pt idx="5">
                    <c:v>Q2</c:v>
                  </c:pt>
                </c:lvl>
                <c:lvl>
                  <c:pt idx="0">
                    <c:v>2025-26</c:v>
                  </c:pt>
                  <c:pt idx="4">
                    <c:v>2026-27</c:v>
                  </c:pt>
                </c:lvl>
              </c:multiLvlStrCache>
            </c:multiLvlStrRef>
          </c:cat>
          <c:val>
            <c:numRef>
              <c:f>'Graphs 26_27'!$C$20:$C$25</c:f>
              <c:numCache>
                <c:formatCode>General</c:formatCode>
                <c:ptCount val="6"/>
                <c:pt idx="0">
                  <c:v>7</c:v>
                </c:pt>
                <c:pt idx="1">
                  <c:v>1000</c:v>
                </c:pt>
                <c:pt idx="2">
                  <c:v>1000</c:v>
                </c:pt>
                <c:pt idx="3">
                  <c:v>1000</c:v>
                </c:pt>
                <c:pt idx="4">
                  <c:v>500</c:v>
                </c:pt>
                <c:pt idx="5">
                  <c:v>177</c:v>
                </c:pt>
              </c:numCache>
            </c:numRef>
          </c:val>
          <c:extLst>
            <c:ext xmlns:c16="http://schemas.microsoft.com/office/drawing/2014/chart" uri="{C3380CC4-5D6E-409C-BE32-E72D297353CC}">
              <c16:uniqueId val="{00000000-547D-4949-A252-A3763187B6BF}"/>
            </c:ext>
          </c:extLst>
        </c:ser>
        <c:dLbls>
          <c:showLegendKey val="0"/>
          <c:showVal val="0"/>
          <c:showCatName val="0"/>
          <c:showSerName val="0"/>
          <c:showPercent val="0"/>
          <c:showBubbleSize val="0"/>
        </c:dLbls>
        <c:gapWidth val="219"/>
        <c:axId val="871210720"/>
        <c:axId val="513674672"/>
        <c:extLst>
          <c:ext xmlns:c15="http://schemas.microsoft.com/office/drawing/2012/chart" uri="{02D57815-91ED-43cb-92C2-25804820EDAC}">
            <c15:filteredBarSeries>
              <c15:ser>
                <c:idx val="1"/>
                <c:order val="1"/>
                <c:tx>
                  <c:strRef>
                    <c:extLst>
                      <c:ext uri="{02D57815-91ED-43cb-92C2-25804820EDAC}">
                        <c15:formulaRef>
                          <c15:sqref>'Graphs 26_27'!$D$18:$D$19</c15:sqref>
                        </c15:formulaRef>
                      </c:ext>
                    </c:extLst>
                    <c:strCache>
                      <c:ptCount val="2"/>
                      <c:pt idx="0">
                        <c:v>Social media</c:v>
                      </c:pt>
                      <c:pt idx="1">
                        <c:v>Followers</c:v>
                      </c:pt>
                    </c:strCache>
                  </c:strRef>
                </c:tx>
                <c:spPr>
                  <a:solidFill>
                    <a:schemeClr val="accent2"/>
                  </a:solidFill>
                  <a:ln>
                    <a:noFill/>
                  </a:ln>
                  <a:effectLst/>
                </c:spPr>
                <c:invertIfNegative val="0"/>
                <c:cat>
                  <c:multiLvlStrRef>
                    <c:extLst>
                      <c:ext uri="{02D57815-91ED-43cb-92C2-25804820EDAC}">
                        <c15:formulaRef>
                          <c15:sqref>'Graphs 26_27'!$A$20:$B$25</c15:sqref>
                        </c15:formulaRef>
                      </c:ext>
                    </c:extLst>
                    <c:multiLvlStrCache>
                      <c:ptCount val="6"/>
                      <c:lvl>
                        <c:pt idx="0">
                          <c:v>Q1</c:v>
                        </c:pt>
                        <c:pt idx="1">
                          <c:v>Q2</c:v>
                        </c:pt>
                        <c:pt idx="2">
                          <c:v>Q3</c:v>
                        </c:pt>
                        <c:pt idx="3">
                          <c:v>Q4</c:v>
                        </c:pt>
                        <c:pt idx="4">
                          <c:v>Q1</c:v>
                        </c:pt>
                        <c:pt idx="5">
                          <c:v>Q2</c:v>
                        </c:pt>
                      </c:lvl>
                      <c:lvl>
                        <c:pt idx="0">
                          <c:v>2025-26</c:v>
                        </c:pt>
                        <c:pt idx="4">
                          <c:v>2026-27</c:v>
                        </c:pt>
                      </c:lvl>
                    </c:multiLvlStrCache>
                  </c:multiLvlStrRef>
                </c:cat>
                <c:val>
                  <c:numRef>
                    <c:extLst>
                      <c:ext uri="{02D57815-91ED-43cb-92C2-25804820EDAC}">
                        <c15:formulaRef>
                          <c15:sqref>'Graphs 26_27'!$D$20:$D$25</c15:sqref>
                        </c15:formulaRef>
                      </c:ext>
                    </c:extLst>
                    <c:numCache>
                      <c:formatCode>General</c:formatCode>
                      <c:ptCount val="6"/>
                      <c:pt idx="0">
                        <c:v>1000</c:v>
                      </c:pt>
                      <c:pt idx="1">
                        <c:v>2000</c:v>
                      </c:pt>
                      <c:pt idx="2">
                        <c:v>3000</c:v>
                      </c:pt>
                      <c:pt idx="3">
                        <c:v>4000</c:v>
                      </c:pt>
                      <c:pt idx="4">
                        <c:v>4500</c:v>
                      </c:pt>
                      <c:pt idx="5">
                        <c:v>5000</c:v>
                      </c:pt>
                    </c:numCache>
                  </c:numRef>
                </c:val>
                <c:extLst>
                  <c:ext xmlns:c16="http://schemas.microsoft.com/office/drawing/2014/chart" uri="{C3380CC4-5D6E-409C-BE32-E72D297353CC}">
                    <c16:uniqueId val="{00000001-547D-4949-A252-A3763187B6BF}"/>
                  </c:ext>
                </c:extLst>
              </c15:ser>
            </c15:filteredBarSeries>
          </c:ext>
        </c:extLst>
      </c:barChart>
      <c:lineChart>
        <c:grouping val="standard"/>
        <c:varyColors val="0"/>
        <c:ser>
          <c:idx val="2"/>
          <c:order val="2"/>
          <c:tx>
            <c:v>Cumulative followers</c:v>
          </c:tx>
          <c:spPr>
            <a:ln w="28575" cap="rnd">
              <a:solidFill>
                <a:srgbClr val="EF2B5E"/>
              </a:solidFill>
              <a:round/>
            </a:ln>
            <a:effectLst/>
          </c:spPr>
          <c:marker>
            <c:symbol val="none"/>
          </c:marker>
          <c:cat>
            <c:multiLvlStrRef>
              <c:f>'Graphs 26_27'!$A$20:$B$25</c:f>
              <c:multiLvlStrCache>
                <c:ptCount val="6"/>
                <c:lvl>
                  <c:pt idx="0">
                    <c:v>Q1</c:v>
                  </c:pt>
                  <c:pt idx="1">
                    <c:v>Q2</c:v>
                  </c:pt>
                  <c:pt idx="2">
                    <c:v>Q3</c:v>
                  </c:pt>
                  <c:pt idx="3">
                    <c:v>Q4</c:v>
                  </c:pt>
                  <c:pt idx="4">
                    <c:v>Q1</c:v>
                  </c:pt>
                  <c:pt idx="5">
                    <c:v>Q2</c:v>
                  </c:pt>
                </c:lvl>
                <c:lvl>
                  <c:pt idx="0">
                    <c:v>2025-26</c:v>
                  </c:pt>
                  <c:pt idx="4">
                    <c:v>2026-27</c:v>
                  </c:pt>
                </c:lvl>
              </c:multiLvlStrCache>
            </c:multiLvlStrRef>
          </c:cat>
          <c:val>
            <c:numRef>
              <c:f>'Graphs 26_27'!$E$20:$E$25</c:f>
              <c:numCache>
                <c:formatCode>General</c:formatCode>
                <c:ptCount val="6"/>
                <c:pt idx="0">
                  <c:v>1000</c:v>
                </c:pt>
                <c:pt idx="1">
                  <c:v>3000</c:v>
                </c:pt>
                <c:pt idx="2">
                  <c:v>6000</c:v>
                </c:pt>
                <c:pt idx="3">
                  <c:v>10000</c:v>
                </c:pt>
                <c:pt idx="4">
                  <c:v>14500</c:v>
                </c:pt>
                <c:pt idx="5">
                  <c:v>19500</c:v>
                </c:pt>
              </c:numCache>
            </c:numRef>
          </c:val>
          <c:smooth val="0"/>
          <c:extLst>
            <c:ext xmlns:c16="http://schemas.microsoft.com/office/drawing/2014/chart" uri="{C3380CC4-5D6E-409C-BE32-E72D297353CC}">
              <c16:uniqueId val="{00000002-547D-4949-A252-A3763187B6BF}"/>
            </c:ext>
          </c:extLst>
        </c:ser>
        <c:dLbls>
          <c:showLegendKey val="0"/>
          <c:showVal val="0"/>
          <c:showCatName val="0"/>
          <c:showSerName val="0"/>
          <c:showPercent val="0"/>
          <c:showBubbleSize val="0"/>
        </c:dLbls>
        <c:marker val="1"/>
        <c:smooth val="0"/>
        <c:axId val="903154192"/>
        <c:axId val="513529712"/>
      </c:lineChart>
      <c:catAx>
        <c:axId val="871210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Financial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74672"/>
        <c:crosses val="autoZero"/>
        <c:auto val="1"/>
        <c:lblAlgn val="ctr"/>
        <c:lblOffset val="100"/>
        <c:noMultiLvlLbl val="0"/>
      </c:catAx>
      <c:valAx>
        <c:axId val="513674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Quarterly new follower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10720"/>
        <c:crosses val="autoZero"/>
        <c:crossBetween val="between"/>
      </c:valAx>
      <c:valAx>
        <c:axId val="5135297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Cumulative follower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54192"/>
        <c:crosses val="max"/>
        <c:crossBetween val="between"/>
      </c:valAx>
      <c:catAx>
        <c:axId val="903154192"/>
        <c:scaling>
          <c:orientation val="minMax"/>
        </c:scaling>
        <c:delete val="1"/>
        <c:axPos val="b"/>
        <c:numFmt formatCode="General" sourceLinked="1"/>
        <c:majorTickMark val="out"/>
        <c:minorTickMark val="none"/>
        <c:tickLblPos val="nextTo"/>
        <c:crossAx val="5135297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Website sessions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Monthly sessions</c:v>
          </c:tx>
          <c:spPr>
            <a:solidFill>
              <a:srgbClr val="04075B"/>
            </a:solidFill>
            <a:ln>
              <a:noFill/>
            </a:ln>
            <a:effectLst/>
          </c:spPr>
          <c:invertIfNegative val="0"/>
          <c:cat>
            <c:numRef>
              <c:f>('Website metrics 25_26'!$U$1,'Website metrics 25_26'!$X$1,'Website metrics 25_26'!$AA$1)</c:f>
              <c:numCache>
                <c:formatCode>mmm\-yy</c:formatCode>
                <c:ptCount val="3"/>
                <c:pt idx="0">
                  <c:v>45931</c:v>
                </c:pt>
                <c:pt idx="1">
                  <c:v>45962</c:v>
                </c:pt>
                <c:pt idx="2">
                  <c:v>45992</c:v>
                </c:pt>
              </c:numCache>
            </c:numRef>
          </c:cat>
          <c:val>
            <c:numRef>
              <c:f>('Website metrics 25_26'!$U$6,'Website metrics 25_26'!$X$6,'Website metrics 25_26'!$AA$6)</c:f>
              <c:numCache>
                <c:formatCode>General</c:formatCode>
                <c:ptCount val="3"/>
                <c:pt idx="0">
                  <c:v>659</c:v>
                </c:pt>
                <c:pt idx="1">
                  <c:v>1058</c:v>
                </c:pt>
                <c:pt idx="2">
                  <c:v>454</c:v>
                </c:pt>
              </c:numCache>
            </c:numRef>
          </c:val>
          <c:extLst>
            <c:ext xmlns:c16="http://schemas.microsoft.com/office/drawing/2014/chart" uri="{C3380CC4-5D6E-409C-BE32-E72D297353CC}">
              <c16:uniqueId val="{00000000-6E65-4FF4-9431-672CB3723DD3}"/>
            </c:ext>
          </c:extLst>
        </c:ser>
        <c:dLbls>
          <c:showLegendKey val="0"/>
          <c:showVal val="0"/>
          <c:showCatName val="0"/>
          <c:showSerName val="0"/>
          <c:showPercent val="0"/>
          <c:showBubbleSize val="0"/>
        </c:dLbls>
        <c:gapWidth val="219"/>
        <c:axId val="464725055"/>
        <c:axId val="464726015"/>
      </c:barChart>
      <c:lineChart>
        <c:grouping val="standard"/>
        <c:varyColors val="0"/>
        <c:ser>
          <c:idx val="1"/>
          <c:order val="1"/>
          <c:tx>
            <c:v>Cumulative sessions</c:v>
          </c:tx>
          <c:spPr>
            <a:ln w="28575" cap="rnd">
              <a:solidFill>
                <a:srgbClr val="EF2B5E"/>
              </a:solidFill>
              <a:round/>
            </a:ln>
            <a:effectLst/>
          </c:spPr>
          <c:marker>
            <c:symbol val="none"/>
          </c:marker>
          <c:val>
            <c:numRef>
              <c:f>('Website metrics 25_26'!$W$6,'Website metrics 25_26'!$Z$6,'Website metrics 25_26'!$AC$6)</c:f>
              <c:numCache>
                <c:formatCode>0</c:formatCode>
                <c:ptCount val="3"/>
                <c:pt idx="0">
                  <c:v>3158</c:v>
                </c:pt>
                <c:pt idx="1">
                  <c:v>4216</c:v>
                </c:pt>
                <c:pt idx="2">
                  <c:v>4670</c:v>
                </c:pt>
              </c:numCache>
            </c:numRef>
          </c:val>
          <c:smooth val="0"/>
          <c:extLst>
            <c:ext xmlns:c16="http://schemas.microsoft.com/office/drawing/2014/chart" uri="{C3380CC4-5D6E-409C-BE32-E72D297353CC}">
              <c16:uniqueId val="{00000001-6E65-4FF4-9431-672CB3723DD3}"/>
            </c:ext>
          </c:extLst>
        </c:ser>
        <c:dLbls>
          <c:showLegendKey val="0"/>
          <c:showVal val="0"/>
          <c:showCatName val="0"/>
          <c:showSerName val="0"/>
          <c:showPercent val="0"/>
          <c:showBubbleSize val="0"/>
        </c:dLbls>
        <c:marker val="1"/>
        <c:smooth val="0"/>
        <c:axId val="464725055"/>
        <c:axId val="464726015"/>
      </c:lineChart>
      <c:dateAx>
        <c:axId val="464725055"/>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26015"/>
        <c:crosses val="autoZero"/>
        <c:auto val="1"/>
        <c:lblOffset val="100"/>
        <c:baseTimeUnit val="months"/>
      </c:dateAx>
      <c:valAx>
        <c:axId val="46472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725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Website</a:t>
            </a:r>
            <a:r>
              <a:rPr lang="en-GB" baseline="0"/>
              <a:t> visitors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v>Monthly visitors</c:v>
          </c:tx>
          <c:spPr>
            <a:solidFill>
              <a:srgbClr val="04075B"/>
            </a:solidFill>
            <a:ln>
              <a:noFill/>
            </a:ln>
            <a:effectLst/>
          </c:spPr>
          <c:invertIfNegative val="0"/>
          <c:val>
            <c:numRef>
              <c:f>('Website metrics 25_26'!$U$2,'Website metrics 25_26'!$X$2,'Website metrics 25_26'!$AA$2)</c:f>
              <c:numCache>
                <c:formatCode>General</c:formatCode>
                <c:ptCount val="3"/>
                <c:pt idx="0">
                  <c:v>300</c:v>
                </c:pt>
                <c:pt idx="1">
                  <c:v>300</c:v>
                </c:pt>
                <c:pt idx="2">
                  <c:v>300</c:v>
                </c:pt>
              </c:numCache>
            </c:numRef>
          </c:val>
          <c:extLst>
            <c:ext xmlns:c16="http://schemas.microsoft.com/office/drawing/2014/chart" uri="{C3380CC4-5D6E-409C-BE32-E72D297353CC}">
              <c16:uniqueId val="{00000000-B187-4188-AEA4-467DCC427D52}"/>
            </c:ext>
          </c:extLst>
        </c:ser>
        <c:dLbls>
          <c:showLegendKey val="0"/>
          <c:showVal val="0"/>
          <c:showCatName val="0"/>
          <c:showSerName val="0"/>
          <c:showPercent val="0"/>
          <c:showBubbleSize val="0"/>
        </c:dLbls>
        <c:gapWidth val="219"/>
        <c:axId val="1773517039"/>
        <c:axId val="1773529039"/>
      </c:barChart>
      <c:lineChart>
        <c:grouping val="standard"/>
        <c:varyColors val="0"/>
        <c:ser>
          <c:idx val="1"/>
          <c:order val="1"/>
          <c:tx>
            <c:v>Cumulative visitors</c:v>
          </c:tx>
          <c:spPr>
            <a:ln w="28575" cap="rnd">
              <a:solidFill>
                <a:srgbClr val="EF2B5E"/>
              </a:solidFill>
              <a:round/>
            </a:ln>
            <a:effectLst/>
          </c:spPr>
          <c:marker>
            <c:symbol val="none"/>
          </c:marker>
          <c:val>
            <c:numRef>
              <c:f>('Website metrics 25_26'!$W$2,'Website metrics 25_26'!$Z$2,'Website metrics 25_26'!$AC$2)</c:f>
              <c:numCache>
                <c:formatCode>0</c:formatCode>
                <c:ptCount val="3"/>
                <c:pt idx="0">
                  <c:v>2100</c:v>
                </c:pt>
                <c:pt idx="1">
                  <c:v>2400</c:v>
                </c:pt>
                <c:pt idx="2">
                  <c:v>2700</c:v>
                </c:pt>
              </c:numCache>
            </c:numRef>
          </c:val>
          <c:smooth val="0"/>
          <c:extLst>
            <c:ext xmlns:c16="http://schemas.microsoft.com/office/drawing/2014/chart" uri="{C3380CC4-5D6E-409C-BE32-E72D297353CC}">
              <c16:uniqueId val="{00000001-B187-4188-AEA4-467DCC427D52}"/>
            </c:ext>
          </c:extLst>
        </c:ser>
        <c:dLbls>
          <c:showLegendKey val="0"/>
          <c:showVal val="0"/>
          <c:showCatName val="0"/>
          <c:showSerName val="0"/>
          <c:showPercent val="0"/>
          <c:showBubbleSize val="0"/>
        </c:dLbls>
        <c:marker val="1"/>
        <c:smooth val="0"/>
        <c:axId val="1773517039"/>
        <c:axId val="1773529039"/>
      </c:lineChart>
      <c:catAx>
        <c:axId val="17735170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529039"/>
        <c:crosses val="autoZero"/>
        <c:auto val="1"/>
        <c:lblAlgn val="ctr"/>
        <c:lblOffset val="100"/>
        <c:noMultiLvlLbl val="0"/>
      </c:catAx>
      <c:valAx>
        <c:axId val="177352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517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[HWW monitoring and reporting.xlsx]Graphs 25_26!PivotTable2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Employer Survey Tool completions YTD -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07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 25_26'!$C$35</c:f>
              <c:strCache>
                <c:ptCount val="1"/>
                <c:pt idx="0">
                  <c:v>Total</c:v>
                </c:pt>
              </c:strCache>
            </c:strRef>
          </c:tx>
          <c:spPr>
            <a:solidFill>
              <a:srgbClr val="04075B"/>
            </a:solidFill>
            <a:ln>
              <a:noFill/>
            </a:ln>
            <a:effectLst/>
          </c:spPr>
          <c:invertIfNegative val="0"/>
          <c:cat>
            <c:strRef>
              <c:f>'Graphs 25_26'!$B$36:$B$43</c:f>
              <c:strCache>
                <c:ptCount val="7"/>
                <c:pt idx="0">
                  <c:v>1000+</c:v>
                </c:pt>
                <c:pt idx="1">
                  <c:v>100-249</c:v>
                </c:pt>
                <c:pt idx="2">
                  <c:v>10-19</c:v>
                </c:pt>
                <c:pt idx="3">
                  <c:v>250-999</c:v>
                </c:pt>
                <c:pt idx="4">
                  <c:v>5-9</c:v>
                </c:pt>
                <c:pt idx="5">
                  <c:v>20-49</c:v>
                </c:pt>
                <c:pt idx="6">
                  <c:v>50-99</c:v>
                </c:pt>
              </c:strCache>
            </c:strRef>
          </c:cat>
          <c:val>
            <c:numRef>
              <c:f>'Graphs 25_26'!$C$36:$C$43</c:f>
              <c:numCache>
                <c:formatCode>General</c:formatCode>
                <c:ptCount val="7"/>
                <c:pt idx="0">
                  <c:v>9</c:v>
                </c:pt>
                <c:pt idx="1">
                  <c:v>4</c:v>
                </c:pt>
                <c:pt idx="2">
                  <c:v>4</c:v>
                </c:pt>
                <c:pt idx="3">
                  <c:v>3</c:v>
                </c:pt>
                <c:pt idx="4">
                  <c:v>2</c:v>
                </c:pt>
                <c:pt idx="5">
                  <c:v>2</c:v>
                </c:pt>
                <c:pt idx="6">
                  <c:v>1</c:v>
                </c:pt>
              </c:numCache>
            </c:numRef>
          </c:val>
          <c:extLst>
            <c:ext xmlns:c16="http://schemas.microsoft.com/office/drawing/2014/chart" uri="{C3380CC4-5D6E-409C-BE32-E72D297353CC}">
              <c16:uniqueId val="{00000000-045E-4F9C-A425-9811639EBEBA}"/>
            </c:ext>
          </c:extLst>
        </c:ser>
        <c:dLbls>
          <c:showLegendKey val="0"/>
          <c:showVal val="0"/>
          <c:showCatName val="0"/>
          <c:showSerName val="0"/>
          <c:showPercent val="0"/>
          <c:showBubbleSize val="0"/>
        </c:dLbls>
        <c:gapWidth val="219"/>
        <c:overlap val="-27"/>
        <c:axId val="355498351"/>
        <c:axId val="1943951951"/>
      </c:barChart>
      <c:catAx>
        <c:axId val="35549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951951"/>
        <c:crosses val="autoZero"/>
        <c:auto val="1"/>
        <c:lblAlgn val="ctr"/>
        <c:lblOffset val="100"/>
        <c:noMultiLvlLbl val="0"/>
      </c:catAx>
      <c:valAx>
        <c:axId val="194395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49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[HWW monitoring and reporting.xlsx]Graphs 25_26!PivotTable4</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Employer Survey Tool completions YTD - Sector</a:t>
            </a:r>
          </a:p>
        </c:rich>
      </c:tx>
      <c:layout>
        <c:manualLayout>
          <c:xMode val="edge"/>
          <c:yMode val="edge"/>
          <c:x val="0.1794724791947849"/>
          <c:y val="2.764976958525345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07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 25_26'!$C$52</c:f>
              <c:strCache>
                <c:ptCount val="1"/>
                <c:pt idx="0">
                  <c:v>Total</c:v>
                </c:pt>
              </c:strCache>
            </c:strRef>
          </c:tx>
          <c:spPr>
            <a:solidFill>
              <a:srgbClr val="04075B"/>
            </a:solidFill>
            <a:ln>
              <a:noFill/>
            </a:ln>
            <a:effectLst/>
          </c:spPr>
          <c:invertIfNegative val="0"/>
          <c:cat>
            <c:strRef>
              <c:f>'Graphs 25_26'!$B$53:$B$57</c:f>
              <c:strCache>
                <c:ptCount val="4"/>
                <c:pt idx="0">
                  <c:v>Private Sector</c:v>
                </c:pt>
                <c:pt idx="1">
                  <c:v>Public Sector (local or central government financed organisation)</c:v>
                </c:pt>
                <c:pt idx="2">
                  <c:v>Charity or voluntary sector (including social enterprises)</c:v>
                </c:pt>
                <c:pt idx="3">
                  <c:v>other_options</c:v>
                </c:pt>
              </c:strCache>
            </c:strRef>
          </c:cat>
          <c:val>
            <c:numRef>
              <c:f>'Graphs 25_26'!$C$53:$C$57</c:f>
              <c:numCache>
                <c:formatCode>General</c:formatCode>
                <c:ptCount val="4"/>
                <c:pt idx="0">
                  <c:v>12</c:v>
                </c:pt>
                <c:pt idx="1">
                  <c:v>9</c:v>
                </c:pt>
                <c:pt idx="2">
                  <c:v>2</c:v>
                </c:pt>
                <c:pt idx="3">
                  <c:v>2</c:v>
                </c:pt>
              </c:numCache>
            </c:numRef>
          </c:val>
          <c:extLst>
            <c:ext xmlns:c16="http://schemas.microsoft.com/office/drawing/2014/chart" uri="{C3380CC4-5D6E-409C-BE32-E72D297353CC}">
              <c16:uniqueId val="{00000000-ECD0-4C76-980B-4B459B61B228}"/>
            </c:ext>
          </c:extLst>
        </c:ser>
        <c:dLbls>
          <c:showLegendKey val="0"/>
          <c:showVal val="0"/>
          <c:showCatName val="0"/>
          <c:showSerName val="0"/>
          <c:showPercent val="0"/>
          <c:showBubbleSize val="0"/>
        </c:dLbls>
        <c:gapWidth val="219"/>
        <c:overlap val="-27"/>
        <c:axId val="510908991"/>
        <c:axId val="510909471"/>
      </c:barChart>
      <c:catAx>
        <c:axId val="51090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09471"/>
        <c:crosses val="autoZero"/>
        <c:auto val="1"/>
        <c:lblAlgn val="ctr"/>
        <c:lblOffset val="100"/>
        <c:noMultiLvlLbl val="0"/>
      </c:catAx>
      <c:valAx>
        <c:axId val="51090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0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GB" sz="2400"/>
              <a:t>Social media followers April 2025 - March 2026</a:t>
            </a:r>
          </a:p>
        </c:rich>
      </c:tx>
      <c:layout>
        <c:manualLayout>
          <c:xMode val="edge"/>
          <c:yMode val="edge"/>
          <c:x val="0.21595325150830136"/>
          <c:y val="3.5273368606701938E-3"/>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37433974119819"/>
          <c:y val="8.1728629628952998E-2"/>
          <c:w val="0.8116522669703693"/>
          <c:h val="0.73398941234040671"/>
        </c:manualLayout>
      </c:layout>
      <c:barChart>
        <c:barDir val="col"/>
        <c:grouping val="clustered"/>
        <c:varyColors val="0"/>
        <c:ser>
          <c:idx val="0"/>
          <c:order val="0"/>
          <c:tx>
            <c:strRef>
              <c:f>'Social media metrics 25_26'!$V$1</c:f>
              <c:strCache>
                <c:ptCount val="1"/>
                <c:pt idx="0">
                  <c:v>New followers</c:v>
                </c:pt>
              </c:strCache>
            </c:strRef>
          </c:tx>
          <c:spPr>
            <a:solidFill>
              <a:srgbClr val="04075B"/>
            </a:solidFill>
            <a:ln>
              <a:noFill/>
            </a:ln>
            <a:effectLst/>
          </c:spPr>
          <c:invertIfNegative val="0"/>
          <c:cat>
            <c:multiLvlStrRef>
              <c:f>'Social media metrics 25_26'!$T$2:$U$5</c:f>
              <c:multiLvlStrCache>
                <c:ptCount val="4"/>
                <c:lvl>
                  <c:pt idx="0">
                    <c:v>Q1</c:v>
                  </c:pt>
                  <c:pt idx="1">
                    <c:v>Q2</c:v>
                  </c:pt>
                  <c:pt idx="2">
                    <c:v>Q3</c:v>
                  </c:pt>
                  <c:pt idx="3">
                    <c:v>Q4</c:v>
                  </c:pt>
                </c:lvl>
                <c:lvl>
                  <c:pt idx="0">
                    <c:v>2025-26</c:v>
                  </c:pt>
                </c:lvl>
              </c:multiLvlStrCache>
            </c:multiLvlStrRef>
          </c:cat>
          <c:val>
            <c:numRef>
              <c:f>'Social media metrics 25_26'!$V$2:$V$5</c:f>
              <c:numCache>
                <c:formatCode>General</c:formatCode>
                <c:ptCount val="4"/>
                <c:pt idx="0">
                  <c:v>15</c:v>
                </c:pt>
                <c:pt idx="1">
                  <c:v>20</c:v>
                </c:pt>
                <c:pt idx="2">
                  <c:v>70</c:v>
                </c:pt>
                <c:pt idx="3">
                  <c:v>210</c:v>
                </c:pt>
              </c:numCache>
            </c:numRef>
          </c:val>
          <c:extLst>
            <c:ext xmlns:c16="http://schemas.microsoft.com/office/drawing/2014/chart" uri="{C3380CC4-5D6E-409C-BE32-E72D297353CC}">
              <c16:uniqueId val="{00000003-E678-47BE-A1E8-AC409AED005E}"/>
            </c:ext>
          </c:extLst>
        </c:ser>
        <c:dLbls>
          <c:showLegendKey val="0"/>
          <c:showVal val="0"/>
          <c:showCatName val="0"/>
          <c:showSerName val="0"/>
          <c:showPercent val="0"/>
          <c:showBubbleSize val="0"/>
        </c:dLbls>
        <c:gapWidth val="219"/>
        <c:axId val="1588210096"/>
        <c:axId val="1588208176"/>
      </c:barChart>
      <c:lineChart>
        <c:grouping val="standard"/>
        <c:varyColors val="0"/>
        <c:ser>
          <c:idx val="1"/>
          <c:order val="1"/>
          <c:tx>
            <c:v>Cumulative followers</c:v>
          </c:tx>
          <c:spPr>
            <a:ln w="28575" cap="rnd">
              <a:solidFill>
                <a:srgbClr val="EF2B5E"/>
              </a:solidFill>
              <a:round/>
            </a:ln>
            <a:effectLst/>
          </c:spPr>
          <c:marker>
            <c:symbol val="none"/>
          </c:marker>
          <c:dPt>
            <c:idx val="2"/>
            <c:marker>
              <c:symbol val="none"/>
            </c:marker>
            <c:bubble3D val="0"/>
            <c:extLst>
              <c:ext xmlns:c16="http://schemas.microsoft.com/office/drawing/2014/chart" uri="{C3380CC4-5D6E-409C-BE32-E72D297353CC}">
                <c16:uniqueId val="{00000004-E678-47BE-A1E8-AC409AED005E}"/>
              </c:ext>
            </c:extLst>
          </c:dPt>
          <c:val>
            <c:numRef>
              <c:f>('Social media metrics 25_26'!$F$6,'Social media metrics 25_26'!$J$6,'Social media metrics 25_26'!$N$6,'Social media metrics 25_26'!$R$6)</c:f>
              <c:numCache>
                <c:formatCode>General</c:formatCode>
                <c:ptCount val="4"/>
                <c:pt idx="0">
                  <c:v>4000</c:v>
                </c:pt>
                <c:pt idx="1">
                  <c:v>4000</c:v>
                </c:pt>
                <c:pt idx="2">
                  <c:v>4000</c:v>
                </c:pt>
                <c:pt idx="3">
                  <c:v>4000</c:v>
                </c:pt>
              </c:numCache>
            </c:numRef>
          </c:val>
          <c:smooth val="0"/>
          <c:extLst>
            <c:ext xmlns:c16="http://schemas.microsoft.com/office/drawing/2014/chart" uri="{C3380CC4-5D6E-409C-BE32-E72D297353CC}">
              <c16:uniqueId val="{00000005-E678-47BE-A1E8-AC409AED005E}"/>
            </c:ext>
          </c:extLst>
        </c:ser>
        <c:dLbls>
          <c:showLegendKey val="0"/>
          <c:showVal val="0"/>
          <c:showCatName val="0"/>
          <c:showSerName val="0"/>
          <c:showPercent val="0"/>
          <c:showBubbleSize val="0"/>
        </c:dLbls>
        <c:marker val="1"/>
        <c:smooth val="0"/>
        <c:axId val="1457854960"/>
        <c:axId val="1457854480"/>
      </c:lineChart>
      <c:catAx>
        <c:axId val="1588210096"/>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Financial year</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88208176"/>
        <c:crosses val="autoZero"/>
        <c:auto val="1"/>
        <c:lblAlgn val="ctr"/>
        <c:lblOffset val="100"/>
        <c:noMultiLvlLbl val="0"/>
      </c:catAx>
      <c:valAx>
        <c:axId val="1588208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Number of new followers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88210096"/>
        <c:crosses val="autoZero"/>
        <c:crossBetween val="between"/>
      </c:valAx>
      <c:valAx>
        <c:axId val="1457854480"/>
        <c:scaling>
          <c:orientation val="minMax"/>
        </c:scaling>
        <c:delete val="0"/>
        <c:axPos val="r"/>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Cumulative followers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57854960"/>
        <c:crosses val="max"/>
        <c:crossBetween val="between"/>
        <c:majorUnit val="50"/>
      </c:valAx>
      <c:catAx>
        <c:axId val="1457854960"/>
        <c:scaling>
          <c:orientation val="minMax"/>
        </c:scaling>
        <c:delete val="1"/>
        <c:axPos val="b"/>
        <c:majorTickMark val="out"/>
        <c:minorTickMark val="none"/>
        <c:tickLblPos val="nextTo"/>
        <c:crossAx val="1457854480"/>
        <c:crosses val="autoZero"/>
        <c:auto val="1"/>
        <c:lblAlgn val="ctr"/>
        <c:lblOffset val="100"/>
        <c:noMultiLvlLbl val="0"/>
      </c:catAx>
      <c:spPr>
        <a:noFill/>
        <a:ln>
          <a:noFill/>
        </a:ln>
        <a:effectLst/>
      </c:spPr>
    </c:plotArea>
    <c:legend>
      <c:legendPos val="b"/>
      <c:layout>
        <c:manualLayout>
          <c:xMode val="edge"/>
          <c:yMode val="edge"/>
          <c:x val="0.66321137058104007"/>
          <c:y val="0.94228510879295535"/>
          <c:w val="0.33678859924062893"/>
          <c:h val="5.771486603043877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HWW website visits FY 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Visits</c:v>
          </c:tx>
          <c:spPr>
            <a:solidFill>
              <a:srgbClr val="04075B"/>
            </a:solidFill>
            <a:ln>
              <a:solidFill>
                <a:srgbClr val="04075B"/>
              </a:solidFill>
            </a:ln>
            <a:effectLst/>
          </c:spPr>
          <c:invertIfNegative val="0"/>
          <c:cat>
            <c:numRef>
              <c:f>('Website metrics 25_26'!$B$1,'Website metrics 25_26'!$D$1,'Website metrics 25_26'!$G$1,'Website metrics 25_26'!$J$1,'Website metrics 25_26'!$M$1,'Website metrics 25_26'!$P$1,'Website metrics 25_26'!$U$1,'Website metrics 25_26'!$X$1,'Website metrics 25_26'!$AA$1,'Website metrics 25_26'!$AF$1)</c:f>
              <c:numCache>
                <c:formatCode>mmm\-yy</c:formatCode>
                <c:ptCount val="10"/>
                <c:pt idx="0">
                  <c:v>45748</c:v>
                </c:pt>
                <c:pt idx="1">
                  <c:v>45778</c:v>
                </c:pt>
                <c:pt idx="2">
                  <c:v>45809</c:v>
                </c:pt>
                <c:pt idx="3">
                  <c:v>45839</c:v>
                </c:pt>
                <c:pt idx="4">
                  <c:v>45870</c:v>
                </c:pt>
                <c:pt idx="5">
                  <c:v>45901</c:v>
                </c:pt>
                <c:pt idx="6">
                  <c:v>45931</c:v>
                </c:pt>
                <c:pt idx="7">
                  <c:v>45962</c:v>
                </c:pt>
                <c:pt idx="8">
                  <c:v>45992</c:v>
                </c:pt>
                <c:pt idx="9">
                  <c:v>46023</c:v>
                </c:pt>
              </c:numCache>
            </c:numRef>
          </c:cat>
          <c:val>
            <c:numRef>
              <c:f>('Website metrics 25_26'!$B$2,'Website metrics 25_26'!$D$2,'Website metrics 25_26'!$G$2,'Website metrics 25_26'!$J$2,'Website metrics 25_26'!$M$2,'Website metrics 25_26'!$P$2,'Website metrics 25_26'!$U$2,'Website metrics 25_26'!$X$2,'Website metrics 25_26'!$AA$2,'Website metrics 25_26'!$AF$2)</c:f>
              <c:numCache>
                <c:formatCode>General</c:formatCode>
                <c:ptCount val="10"/>
                <c:pt idx="0">
                  <c:v>300</c:v>
                </c:pt>
                <c:pt idx="1">
                  <c:v>300</c:v>
                </c:pt>
                <c:pt idx="2">
                  <c:v>300</c:v>
                </c:pt>
                <c:pt idx="3">
                  <c:v>300</c:v>
                </c:pt>
                <c:pt idx="4">
                  <c:v>300</c:v>
                </c:pt>
                <c:pt idx="5">
                  <c:v>300</c:v>
                </c:pt>
                <c:pt idx="6">
                  <c:v>300</c:v>
                </c:pt>
                <c:pt idx="7">
                  <c:v>300</c:v>
                </c:pt>
                <c:pt idx="8">
                  <c:v>300</c:v>
                </c:pt>
                <c:pt idx="9">
                  <c:v>300</c:v>
                </c:pt>
              </c:numCache>
            </c:numRef>
          </c:val>
          <c:extLst>
            <c:ext xmlns:c16="http://schemas.microsoft.com/office/drawing/2014/chart" uri="{C3380CC4-5D6E-409C-BE32-E72D297353CC}">
              <c16:uniqueId val="{00000000-0581-4652-AEC0-40347217EBC4}"/>
            </c:ext>
          </c:extLst>
        </c:ser>
        <c:dLbls>
          <c:showLegendKey val="0"/>
          <c:showVal val="0"/>
          <c:showCatName val="0"/>
          <c:showSerName val="0"/>
          <c:showPercent val="0"/>
          <c:showBubbleSize val="0"/>
        </c:dLbls>
        <c:gapWidth val="219"/>
        <c:axId val="1369552144"/>
        <c:axId val="1369550224"/>
      </c:barChart>
      <c:lineChart>
        <c:grouping val="standard"/>
        <c:varyColors val="0"/>
        <c:ser>
          <c:idx val="1"/>
          <c:order val="1"/>
          <c:tx>
            <c:v>Cumulative visits</c:v>
          </c:tx>
          <c:spPr>
            <a:ln w="28575" cap="rnd">
              <a:solidFill>
                <a:srgbClr val="EF2B5E"/>
              </a:solidFill>
              <a:round/>
            </a:ln>
            <a:effectLst/>
          </c:spPr>
          <c:marker>
            <c:symbol val="none"/>
          </c:marker>
          <c:val>
            <c:numRef>
              <c:f>('Website metrics 25_26'!$C$2,'Website metrics 25_26'!$F$2,'Website metrics 25_26'!$I$2,'Website metrics 25_26'!$L$2,'Website metrics 25_26'!$O$2,'Website metrics 25_26'!$R$2,'Website metrics 25_26'!$W$2,'Website metrics 25_26'!$Z$2,'Website metrics 25_26'!$AC$2,'Website metrics 25_26'!$AH$2)</c:f>
              <c:numCache>
                <c:formatCode>0</c:formatCode>
                <c:ptCount val="10"/>
                <c:pt idx="0">
                  <c:v>300</c:v>
                </c:pt>
                <c:pt idx="1">
                  <c:v>600</c:v>
                </c:pt>
                <c:pt idx="2" formatCode="General">
                  <c:v>900</c:v>
                </c:pt>
                <c:pt idx="3">
                  <c:v>1200</c:v>
                </c:pt>
                <c:pt idx="4">
                  <c:v>1500</c:v>
                </c:pt>
                <c:pt idx="5">
                  <c:v>1800</c:v>
                </c:pt>
                <c:pt idx="6">
                  <c:v>2100</c:v>
                </c:pt>
                <c:pt idx="7">
                  <c:v>2400</c:v>
                </c:pt>
                <c:pt idx="8">
                  <c:v>2700</c:v>
                </c:pt>
                <c:pt idx="9">
                  <c:v>3000</c:v>
                </c:pt>
              </c:numCache>
            </c:numRef>
          </c:val>
          <c:smooth val="0"/>
          <c:extLst>
            <c:ext xmlns:c16="http://schemas.microsoft.com/office/drawing/2014/chart" uri="{C3380CC4-5D6E-409C-BE32-E72D297353CC}">
              <c16:uniqueId val="{00000001-0581-4652-AEC0-40347217EBC4}"/>
            </c:ext>
          </c:extLst>
        </c:ser>
        <c:dLbls>
          <c:showLegendKey val="0"/>
          <c:showVal val="0"/>
          <c:showCatName val="0"/>
          <c:showSerName val="0"/>
          <c:showPercent val="0"/>
          <c:showBubbleSize val="0"/>
        </c:dLbls>
        <c:marker val="1"/>
        <c:smooth val="0"/>
        <c:axId val="1000588016"/>
        <c:axId val="1000587536"/>
      </c:lineChart>
      <c:dateAx>
        <c:axId val="136955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FY 25/26</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550224"/>
        <c:crosses val="autoZero"/>
        <c:auto val="1"/>
        <c:lblOffset val="100"/>
        <c:baseTimeUnit val="months"/>
      </c:dateAx>
      <c:valAx>
        <c:axId val="136955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Monthly visits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552144"/>
        <c:crosses val="autoZero"/>
        <c:crossBetween val="between"/>
      </c:valAx>
      <c:valAx>
        <c:axId val="100058753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Cumulative visits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588016"/>
        <c:crosses val="max"/>
        <c:crossBetween val="between"/>
      </c:valAx>
      <c:catAx>
        <c:axId val="1000588016"/>
        <c:scaling>
          <c:orientation val="minMax"/>
        </c:scaling>
        <c:delete val="1"/>
        <c:axPos val="b"/>
        <c:majorTickMark val="out"/>
        <c:minorTickMark val="none"/>
        <c:tickLblPos val="nextTo"/>
        <c:crossAx val="1000587536"/>
        <c:crosses val="autoZero"/>
        <c:auto val="1"/>
        <c:lblAlgn val="ctr"/>
        <c:lblOffset val="100"/>
        <c:tickLblSkip val="1"/>
        <c:tickMarkSkip val="1"/>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GB" sz="2400"/>
              <a:t>Website visitors April 2025 - March 2026</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'Website metrics 25_26'!$A$2</c:f>
              <c:strCache>
                <c:ptCount val="1"/>
                <c:pt idx="0">
                  <c:v>Visitors</c:v>
                </c:pt>
              </c:strCache>
            </c:strRef>
          </c:tx>
          <c:spPr>
            <a:solidFill>
              <a:srgbClr val="04075B"/>
            </a:solidFill>
            <a:ln w="28575" cap="rnd">
              <a:solidFill>
                <a:srgbClr val="04075B"/>
              </a:solidFill>
              <a:round/>
            </a:ln>
            <a:effectLst/>
          </c:spPr>
          <c:invertIfNegative val="0"/>
          <c:cat>
            <c:numRef>
              <c:f>('Website metrics 25_26'!$B$1,'Website metrics 25_26'!$D$1,'Website metrics 25_26'!$G$1,'Website metrics 25_26'!$J$1,'Website metrics 25_26'!$M$1,'Website metrics 25_26'!$P$1,'Website metrics 25_26'!$U$1,'Website metrics 25_26'!$X$1,'Website metrics 25_26'!$AA$1,'Website metrics 25_26'!$AF$1,'Website metrics 25_26'!$AI$1,'Website metrics 25_26'!$AL$1)</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('Website metrics 25_26'!$B$2,'Website metrics 25_26'!$D$2,'Website metrics 25_26'!$G$2,'Website metrics 25_26'!$J$2,'Website metrics 25_26'!$M$2,'Website metrics 25_26'!$P$2,'Website metrics 25_26'!$U$2,'Website metrics 25_26'!$X$2,'Website metrics 25_26'!$AA$2,'Website metrics 25_26'!$AF$2,'Website metrics 25_26'!$AI$2,'Website metrics 25_26'!$AL$2)</c:f>
              <c:numCache>
                <c:formatCode>General</c:formatCode>
                <c:ptCount val="12"/>
                <c:pt idx="0">
                  <c:v>300</c:v>
                </c:pt>
                <c:pt idx="1">
                  <c:v>300</c:v>
                </c:pt>
                <c:pt idx="2">
                  <c:v>300</c:v>
                </c:pt>
                <c:pt idx="3">
                  <c:v>300</c:v>
                </c:pt>
                <c:pt idx="4">
                  <c:v>300</c:v>
                </c:pt>
                <c:pt idx="5">
                  <c:v>300</c:v>
                </c:pt>
                <c:pt idx="6">
                  <c:v>300</c:v>
                </c:pt>
                <c:pt idx="7">
                  <c:v>300</c:v>
                </c:pt>
                <c:pt idx="8">
                  <c:v>300</c:v>
                </c:pt>
                <c:pt idx="9">
                  <c:v>300</c:v>
                </c:pt>
                <c:pt idx="10">
                  <c:v>400</c:v>
                </c:pt>
                <c:pt idx="11">
                  <c:v>400</c:v>
                </c:pt>
              </c:numCache>
            </c:numRef>
          </c:val>
          <c:extLst>
            <c:ext xmlns:c16="http://schemas.microsoft.com/office/drawing/2014/chart" uri="{C3380CC4-5D6E-409C-BE32-E72D297353CC}">
              <c16:uniqueId val="{00000000-7FDC-46A6-B883-C226943046DC}"/>
            </c:ext>
          </c:extLst>
        </c:ser>
        <c:dLbls>
          <c:showLegendKey val="0"/>
          <c:showVal val="0"/>
          <c:showCatName val="0"/>
          <c:showSerName val="0"/>
          <c:showPercent val="0"/>
          <c:showBubbleSize val="0"/>
        </c:dLbls>
        <c:gapWidth val="219"/>
        <c:axId val="2074905871"/>
        <c:axId val="2074904431"/>
      </c:barChart>
      <c:lineChart>
        <c:grouping val="standard"/>
        <c:varyColors val="0"/>
        <c:ser>
          <c:idx val="1"/>
          <c:order val="1"/>
          <c:tx>
            <c:v>Cumulative visitors</c:v>
          </c:tx>
          <c:spPr>
            <a:ln w="28575" cap="rnd">
              <a:solidFill>
                <a:srgbClr val="EF2B5E"/>
              </a:solidFill>
              <a:round/>
            </a:ln>
            <a:effectLst/>
          </c:spPr>
          <c:marker>
            <c:symbol val="none"/>
          </c:marker>
          <c:val>
            <c:numRef>
              <c:f>('Website metrics 25_26'!$C$2,'Website metrics 25_26'!$F$2,'Website metrics 25_26'!$I$2,'Website metrics 25_26'!$L$2,'Website metrics 25_26'!$O$2,'Website metrics 25_26'!$R$2,'Website metrics 25_26'!$W$2,'Website metrics 25_26'!$Z$2,'Website metrics 25_26'!$AC$2,'Website metrics 25_26'!$AH$2,'Website metrics 25_26'!$AK$2,'Website metrics 25_26'!$AN$2)</c:f>
              <c:numCache>
                <c:formatCode>0</c:formatCode>
                <c:ptCount val="12"/>
                <c:pt idx="0">
                  <c:v>300</c:v>
                </c:pt>
                <c:pt idx="1">
                  <c:v>600</c:v>
                </c:pt>
                <c:pt idx="2" formatCode="General">
                  <c:v>900</c:v>
                </c:pt>
                <c:pt idx="3">
                  <c:v>1200</c:v>
                </c:pt>
                <c:pt idx="4">
                  <c:v>1500</c:v>
                </c:pt>
                <c:pt idx="5">
                  <c:v>1800</c:v>
                </c:pt>
                <c:pt idx="6">
                  <c:v>2100</c:v>
                </c:pt>
                <c:pt idx="7">
                  <c:v>2400</c:v>
                </c:pt>
                <c:pt idx="8">
                  <c:v>2700</c:v>
                </c:pt>
                <c:pt idx="9">
                  <c:v>3000</c:v>
                </c:pt>
                <c:pt idx="10">
                  <c:v>3400</c:v>
                </c:pt>
                <c:pt idx="11">
                  <c:v>3800</c:v>
                </c:pt>
              </c:numCache>
            </c:numRef>
          </c:val>
          <c:smooth val="0"/>
          <c:extLst>
            <c:ext xmlns:c16="http://schemas.microsoft.com/office/drawing/2014/chart" uri="{C3380CC4-5D6E-409C-BE32-E72D297353CC}">
              <c16:uniqueId val="{00000001-7FDC-46A6-B883-C226943046DC}"/>
            </c:ext>
          </c:extLst>
        </c:ser>
        <c:dLbls>
          <c:showLegendKey val="0"/>
          <c:showVal val="0"/>
          <c:showCatName val="0"/>
          <c:showSerName val="0"/>
          <c:showPercent val="0"/>
          <c:showBubbleSize val="0"/>
        </c:dLbls>
        <c:marker val="1"/>
        <c:smooth val="0"/>
        <c:axId val="191753423"/>
        <c:axId val="191751023"/>
      </c:lineChart>
      <c:dateAx>
        <c:axId val="2074905871"/>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Month</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74904431"/>
        <c:crosses val="autoZero"/>
        <c:auto val="1"/>
        <c:lblOffset val="100"/>
        <c:baseTimeUnit val="months"/>
      </c:dateAx>
      <c:valAx>
        <c:axId val="2074904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Monthly </a:t>
                </a:r>
                <a:r>
                  <a:rPr lang="en-GB" sz="2000" baseline="0"/>
                  <a:t>visitor count</a:t>
                </a:r>
                <a:endParaRPr lang="en-GB" sz="2000"/>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74905871"/>
        <c:crosses val="autoZero"/>
        <c:crossBetween val="between"/>
      </c:valAx>
      <c:valAx>
        <c:axId val="1917510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2000"/>
                  <a:t>Cumulative visitor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1753423"/>
        <c:crosses val="max"/>
        <c:crossBetween val="between"/>
      </c:valAx>
      <c:catAx>
        <c:axId val="191753423"/>
        <c:scaling>
          <c:orientation val="minMax"/>
        </c:scaling>
        <c:delete val="1"/>
        <c:axPos val="b"/>
        <c:majorTickMark val="out"/>
        <c:minorTickMark val="none"/>
        <c:tickLblPos val="nextTo"/>
        <c:crossAx val="1917510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GB" sz="2400"/>
              <a:t>Website sessions April 2025 - March</a:t>
            </a:r>
            <a:r>
              <a:rPr lang="en-GB" sz="2400" baseline="0"/>
              <a:t> 2026</a:t>
            </a:r>
            <a:endParaRPr lang="en-GB"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'Website metrics 25_26'!$A$6</c:f>
              <c:strCache>
                <c:ptCount val="1"/>
                <c:pt idx="0">
                  <c:v>Sessions</c:v>
                </c:pt>
              </c:strCache>
            </c:strRef>
          </c:tx>
          <c:spPr>
            <a:solidFill>
              <a:srgbClr val="04075B"/>
            </a:solidFill>
            <a:ln>
              <a:solidFill>
                <a:srgbClr val="04075B"/>
              </a:solidFill>
            </a:ln>
            <a:effectLst/>
          </c:spPr>
          <c:invertIfNegative val="0"/>
          <c:cat>
            <c:numRef>
              <c:f>('Website metrics 25_26'!$B$1,'Website metrics 25_26'!$D$1,'Website metrics 25_26'!$G$1,'Website metrics 25_26'!$J$1,'Website metrics 25_26'!$M$1,'Website metrics 25_26'!$P$1,'Website metrics 25_26'!$U$1,'Website metrics 25_26'!$X$1,'Website metrics 25_26'!$AA$1,'Website metrics 25_26'!$AF$1,'Website metrics 25_26'!$AI$1,'Website metrics 25_26'!$AL$1)</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('Website metrics 25_26'!$B$6,'Website metrics 25_26'!$D$6,'Website metrics 25_26'!$G$6,'Website metrics 25_26'!$J$6,'Website metrics 25_26'!$M$6,'Website metrics 25_26'!$P$6,'Website metrics 25_26'!$U$6,'Website metrics 25_26'!$X$6,'Website metrics 25_26'!$AA$6,'Website metrics 25_26'!$AF$6,'Website metrics 25_26'!$AI$6,'Website metrics 25_26'!$AL$6)</c:f>
              <c:numCache>
                <c:formatCode>General</c:formatCode>
                <c:ptCount val="12"/>
                <c:pt idx="0">
                  <c:v>510</c:v>
                </c:pt>
                <c:pt idx="1">
                  <c:v>518</c:v>
                </c:pt>
                <c:pt idx="2">
                  <c:v>383</c:v>
                </c:pt>
                <c:pt idx="3">
                  <c:v>335</c:v>
                </c:pt>
                <c:pt idx="4">
                  <c:v>303</c:v>
                </c:pt>
                <c:pt idx="5">
                  <c:v>450</c:v>
                </c:pt>
                <c:pt idx="6">
                  <c:v>659</c:v>
                </c:pt>
                <c:pt idx="7">
                  <c:v>1058</c:v>
                </c:pt>
                <c:pt idx="8">
                  <c:v>454</c:v>
                </c:pt>
                <c:pt idx="9">
                  <c:v>915</c:v>
                </c:pt>
                <c:pt idx="10">
                  <c:v>749</c:v>
                </c:pt>
                <c:pt idx="11">
                  <c:v>872</c:v>
                </c:pt>
              </c:numCache>
            </c:numRef>
          </c:val>
          <c:extLst>
            <c:ext xmlns:c16="http://schemas.microsoft.com/office/drawing/2014/chart" uri="{C3380CC4-5D6E-409C-BE32-E72D297353CC}">
              <c16:uniqueId val="{00000000-348F-42C6-B783-B634C8077572}"/>
            </c:ext>
          </c:extLst>
        </c:ser>
        <c:dLbls>
          <c:showLegendKey val="0"/>
          <c:showVal val="0"/>
          <c:showCatName val="0"/>
          <c:showSerName val="0"/>
          <c:showPercent val="0"/>
          <c:showBubbleSize val="0"/>
        </c:dLbls>
        <c:gapWidth val="219"/>
        <c:axId val="1935686495"/>
        <c:axId val="1935682655"/>
      </c:barChart>
      <c:lineChart>
        <c:grouping val="standard"/>
        <c:varyColors val="0"/>
        <c:ser>
          <c:idx val="1"/>
          <c:order val="1"/>
          <c:tx>
            <c:v>Cumulative</c:v>
          </c:tx>
          <c:spPr>
            <a:ln w="28575" cap="rnd">
              <a:solidFill>
                <a:srgbClr val="EF2B5E"/>
              </a:solidFill>
              <a:round/>
            </a:ln>
            <a:effectLst/>
          </c:spPr>
          <c:marker>
            <c:symbol val="none"/>
          </c:marker>
          <c:val>
            <c:numRef>
              <c:f>('Website metrics 25_26'!$C$6,'Website metrics 25_26'!$F$6,'Website metrics 25_26'!$I$6,'Website metrics 25_26'!$L$6,'Website metrics 25_26'!$O$6,'Website metrics 25_26'!$R$6,'Website metrics 25_26'!$W$6,'Website metrics 25_26'!$Z$6,'Website metrics 25_26'!$AC$6,'Website metrics 25_26'!$AH$6,'Website metrics 25_26'!$AK$6,'Website metrics 25_26'!$AN$6)</c:f>
              <c:numCache>
                <c:formatCode>0</c:formatCode>
                <c:ptCount val="12"/>
                <c:pt idx="0">
                  <c:v>510</c:v>
                </c:pt>
                <c:pt idx="1">
                  <c:v>1028</c:v>
                </c:pt>
                <c:pt idx="2" formatCode="General">
                  <c:v>1411</c:v>
                </c:pt>
                <c:pt idx="3">
                  <c:v>1746</c:v>
                </c:pt>
                <c:pt idx="4">
                  <c:v>2049</c:v>
                </c:pt>
                <c:pt idx="5">
                  <c:v>2499</c:v>
                </c:pt>
                <c:pt idx="6">
                  <c:v>3158</c:v>
                </c:pt>
                <c:pt idx="7">
                  <c:v>4216</c:v>
                </c:pt>
                <c:pt idx="8">
                  <c:v>4670</c:v>
                </c:pt>
                <c:pt idx="9">
                  <c:v>5585</c:v>
                </c:pt>
                <c:pt idx="10">
                  <c:v>6334</c:v>
                </c:pt>
                <c:pt idx="11">
                  <c:v>7206</c:v>
                </c:pt>
              </c:numCache>
            </c:numRef>
          </c:val>
          <c:smooth val="0"/>
          <c:extLst>
            <c:ext xmlns:c16="http://schemas.microsoft.com/office/drawing/2014/chart" uri="{C3380CC4-5D6E-409C-BE32-E72D297353CC}">
              <c16:uniqueId val="{00000001-348F-42C6-B783-B634C8077572}"/>
            </c:ext>
          </c:extLst>
        </c:ser>
        <c:dLbls>
          <c:showLegendKey val="0"/>
          <c:showVal val="0"/>
          <c:showCatName val="0"/>
          <c:showSerName val="0"/>
          <c:showPercent val="0"/>
          <c:showBubbleSize val="0"/>
        </c:dLbls>
        <c:marker val="1"/>
        <c:smooth val="0"/>
        <c:axId val="1927829775"/>
        <c:axId val="1927829295"/>
      </c:lineChart>
      <c:dateAx>
        <c:axId val="1935686495"/>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Month</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82655"/>
        <c:crosses val="autoZero"/>
        <c:auto val="1"/>
        <c:lblOffset val="100"/>
        <c:baseTimeUnit val="months"/>
      </c:dateAx>
      <c:valAx>
        <c:axId val="1935682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Monlthy session count</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86495"/>
        <c:crosses val="autoZero"/>
        <c:crossBetween val="between"/>
      </c:valAx>
      <c:valAx>
        <c:axId val="19278292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2000"/>
                  <a:t>Cumulative session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829775"/>
        <c:crosses val="max"/>
        <c:crossBetween val="between"/>
      </c:valAx>
      <c:catAx>
        <c:axId val="1927829775"/>
        <c:scaling>
          <c:orientation val="minMax"/>
        </c:scaling>
        <c:delete val="1"/>
        <c:axPos val="t"/>
        <c:majorTickMark val="out"/>
        <c:minorTickMark val="none"/>
        <c:tickLblPos val="nextTo"/>
        <c:crossAx val="1927829295"/>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Registered</a:t>
            </a:r>
            <a:r>
              <a:rPr lang="en-US" baseline="0"/>
              <a:t> website a</a:t>
            </a:r>
            <a:r>
              <a:rPr lang="en-US"/>
              <a:t>ccounts November 2025 - March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Registered accounts</c:v>
          </c:tx>
          <c:spPr>
            <a:solidFill>
              <a:srgbClr val="04075B"/>
            </a:solidFill>
            <a:ln>
              <a:solidFill>
                <a:srgbClr val="04075B"/>
              </a:solidFill>
            </a:ln>
            <a:effectLst/>
          </c:spPr>
          <c:invertIfNegative val="0"/>
          <c:cat>
            <c:strRef>
              <c:f>'Graphs 25_26'!$S$59:$S$63</c:f>
              <c:strCache>
                <c:ptCount val="5"/>
                <c:pt idx="0">
                  <c:v>November</c:v>
                </c:pt>
                <c:pt idx="1">
                  <c:v>December</c:v>
                </c:pt>
                <c:pt idx="2">
                  <c:v>January</c:v>
                </c:pt>
                <c:pt idx="3">
                  <c:v>February</c:v>
                </c:pt>
                <c:pt idx="4">
                  <c:v>March</c:v>
                </c:pt>
              </c:strCache>
            </c:strRef>
          </c:cat>
          <c:val>
            <c:numRef>
              <c:f>'Graphs 25_26'!$T$59:$T$63</c:f>
              <c:numCache>
                <c:formatCode>General</c:formatCode>
                <c:ptCount val="5"/>
                <c:pt idx="0">
                  <c:v>30</c:v>
                </c:pt>
                <c:pt idx="1">
                  <c:v>30</c:v>
                </c:pt>
                <c:pt idx="2">
                  <c:v>30</c:v>
                </c:pt>
                <c:pt idx="3">
                  <c:v>30</c:v>
                </c:pt>
                <c:pt idx="4">
                  <c:v>30</c:v>
                </c:pt>
              </c:numCache>
            </c:numRef>
          </c:val>
          <c:extLst>
            <c:ext xmlns:c16="http://schemas.microsoft.com/office/drawing/2014/chart" uri="{C3380CC4-5D6E-409C-BE32-E72D297353CC}">
              <c16:uniqueId val="{00000000-540E-4AB4-BA4D-DFCEF5F95605}"/>
            </c:ext>
          </c:extLst>
        </c:ser>
        <c:dLbls>
          <c:showLegendKey val="0"/>
          <c:showVal val="0"/>
          <c:showCatName val="0"/>
          <c:showSerName val="0"/>
          <c:showPercent val="0"/>
          <c:showBubbleSize val="0"/>
        </c:dLbls>
        <c:gapWidth val="219"/>
        <c:axId val="827365680"/>
        <c:axId val="827382000"/>
      </c:barChart>
      <c:lineChart>
        <c:grouping val="standard"/>
        <c:varyColors val="0"/>
        <c:ser>
          <c:idx val="1"/>
          <c:order val="1"/>
          <c:tx>
            <c:v>Cumulative accounts</c:v>
          </c:tx>
          <c:spPr>
            <a:ln w="28575" cap="rnd">
              <a:solidFill>
                <a:srgbClr val="EF2B5E"/>
              </a:solidFill>
              <a:round/>
            </a:ln>
            <a:effectLst/>
          </c:spPr>
          <c:marker>
            <c:symbol val="none"/>
          </c:marker>
          <c:val>
            <c:numRef>
              <c:f>'Graphs 25_26'!$U$59:$U$63</c:f>
              <c:numCache>
                <c:formatCode>General</c:formatCode>
                <c:ptCount val="5"/>
                <c:pt idx="0">
                  <c:v>30</c:v>
                </c:pt>
                <c:pt idx="1">
                  <c:v>60</c:v>
                </c:pt>
                <c:pt idx="2">
                  <c:v>90</c:v>
                </c:pt>
                <c:pt idx="3">
                  <c:v>120</c:v>
                </c:pt>
                <c:pt idx="4">
                  <c:v>150</c:v>
                </c:pt>
              </c:numCache>
            </c:numRef>
          </c:val>
          <c:smooth val="0"/>
          <c:extLst>
            <c:ext xmlns:c16="http://schemas.microsoft.com/office/drawing/2014/chart" uri="{C3380CC4-5D6E-409C-BE32-E72D297353CC}">
              <c16:uniqueId val="{00000001-540E-4AB4-BA4D-DFCEF5F95605}"/>
            </c:ext>
          </c:extLst>
        </c:ser>
        <c:dLbls>
          <c:showLegendKey val="0"/>
          <c:showVal val="0"/>
          <c:showCatName val="0"/>
          <c:showSerName val="0"/>
          <c:showPercent val="0"/>
          <c:showBubbleSize val="0"/>
        </c:dLbls>
        <c:marker val="1"/>
        <c:smooth val="0"/>
        <c:axId val="827616240"/>
        <c:axId val="827613360"/>
      </c:lineChart>
      <c:catAx>
        <c:axId val="827365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82000"/>
        <c:crosses val="autoZero"/>
        <c:auto val="1"/>
        <c:lblAlgn val="ctr"/>
        <c:lblOffset val="100"/>
        <c:noMultiLvlLbl val="0"/>
      </c:catAx>
      <c:valAx>
        <c:axId val="82738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Registered accounts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65680"/>
        <c:crosses val="autoZero"/>
        <c:crossBetween val="between"/>
      </c:valAx>
      <c:valAx>
        <c:axId val="82761336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Cumulative</a:t>
                </a:r>
                <a:r>
                  <a:rPr lang="en-GB" baseline="0"/>
                  <a:t>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616240"/>
        <c:crosses val="max"/>
        <c:crossBetween val="between"/>
      </c:valAx>
      <c:catAx>
        <c:axId val="827616240"/>
        <c:scaling>
          <c:orientation val="minMax"/>
        </c:scaling>
        <c:delete val="1"/>
        <c:axPos val="b"/>
        <c:majorTickMark val="out"/>
        <c:minorTickMark val="none"/>
        <c:tickLblPos val="nextTo"/>
        <c:crossAx val="8276133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Registered accounts November 2025 - March 2026: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25_26'!$T$74</c:f>
              <c:strCache>
                <c:ptCount val="1"/>
                <c:pt idx="0">
                  <c:v>Registered accounts</c:v>
                </c:pt>
              </c:strCache>
            </c:strRef>
          </c:tx>
          <c:spPr>
            <a:solidFill>
              <a:srgbClr val="04075B"/>
            </a:solidFill>
            <a:ln>
              <a:solidFill>
                <a:srgbClr val="04075B"/>
              </a:solidFill>
            </a:ln>
            <a:effectLst/>
          </c:spPr>
          <c:invertIfNegative val="0"/>
          <c:dLbls>
            <c:dLbl>
              <c:idx val="0"/>
              <c:tx>
                <c:rich>
                  <a:bodyPr/>
                  <a:lstStyle/>
                  <a:p>
                    <a:fld id="{D064763D-19F3-40D1-A5D1-CCEEB7CFBDC4}"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D3F-450E-9ADC-408C4F2B0188}"/>
                </c:ext>
              </c:extLst>
            </c:dLbl>
            <c:dLbl>
              <c:idx val="1"/>
              <c:tx>
                <c:rich>
                  <a:bodyPr/>
                  <a:lstStyle/>
                  <a:p>
                    <a:fld id="{156D0498-9B4E-4128-939B-8779532518D0}"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D3F-450E-9ADC-408C4F2B0188}"/>
                </c:ext>
              </c:extLst>
            </c:dLbl>
            <c:dLbl>
              <c:idx val="2"/>
              <c:tx>
                <c:rich>
                  <a:bodyPr/>
                  <a:lstStyle/>
                  <a:p>
                    <a:fld id="{6560E2C9-4978-4957-9B65-571999F87029}"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D3F-450E-9ADC-408C4F2B0188}"/>
                </c:ext>
              </c:extLst>
            </c:dLbl>
            <c:dLbl>
              <c:idx val="3"/>
              <c:tx>
                <c:rich>
                  <a:bodyPr/>
                  <a:lstStyle/>
                  <a:p>
                    <a:fld id="{3ECF56AC-40D3-40E7-B396-CE520CEC4A64}"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D3F-450E-9ADC-408C4F2B01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'Graphs 25_26'!$S$75:$S$78</c:f>
              <c:strCache>
                <c:ptCount val="4"/>
                <c:pt idx="0">
                  <c:v>Public Sector (local or central government financed organisation)</c:v>
                </c:pt>
                <c:pt idx="1">
                  <c:v>Private Sector</c:v>
                </c:pt>
                <c:pt idx="2">
                  <c:v>Charity or voluntary sector (including social enterprises)</c:v>
                </c:pt>
                <c:pt idx="3">
                  <c:v>other_options</c:v>
                </c:pt>
              </c:strCache>
            </c:strRef>
          </c:cat>
          <c:val>
            <c:numRef>
              <c:f>'Graphs 25_26'!$T$75:$T$78</c:f>
              <c:numCache>
                <c:formatCode>General</c:formatCode>
                <c:ptCount val="4"/>
                <c:pt idx="0">
                  <c:v>30</c:v>
                </c:pt>
                <c:pt idx="1">
                  <c:v>30</c:v>
                </c:pt>
                <c:pt idx="2">
                  <c:v>30</c:v>
                </c:pt>
                <c:pt idx="3">
                  <c:v>30</c:v>
                </c:pt>
              </c:numCache>
            </c:numRef>
          </c:val>
          <c:extLst>
            <c:ext xmlns:c15="http://schemas.microsoft.com/office/drawing/2012/chart" uri="{02D57815-91ED-43cb-92C2-25804820EDAC}">
              <c15:datalabelsRange>
                <c15:f>'Graphs 25_26'!$U$75:$U$78</c15:f>
                <c15:dlblRangeCache>
                  <c:ptCount val="4"/>
                  <c:pt idx="0">
                    <c:v>40%</c:v>
                  </c:pt>
                  <c:pt idx="1">
                    <c:v>25%</c:v>
                  </c:pt>
                  <c:pt idx="2">
                    <c:v>25%</c:v>
                  </c:pt>
                  <c:pt idx="3">
                    <c:v>25%</c:v>
                  </c:pt>
                </c15:dlblRangeCache>
              </c15:datalabelsRange>
            </c:ext>
            <c:ext xmlns:c16="http://schemas.microsoft.com/office/drawing/2014/chart" uri="{C3380CC4-5D6E-409C-BE32-E72D297353CC}">
              <c16:uniqueId val="{00000000-D0B1-4F59-A3D3-D6141E01F4DC}"/>
            </c:ext>
          </c:extLst>
        </c:ser>
        <c:dLbls>
          <c:dLblPos val="outEnd"/>
          <c:showLegendKey val="0"/>
          <c:showVal val="1"/>
          <c:showCatName val="0"/>
          <c:showSerName val="0"/>
          <c:showPercent val="0"/>
          <c:showBubbleSize val="0"/>
        </c:dLbls>
        <c:gapWidth val="219"/>
        <c:overlap val="-27"/>
        <c:axId val="826947104"/>
        <c:axId val="826947584"/>
      </c:barChart>
      <c:catAx>
        <c:axId val="826947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Sector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947584"/>
        <c:crosses val="autoZero"/>
        <c:auto val="1"/>
        <c:lblAlgn val="ctr"/>
        <c:lblOffset val="100"/>
        <c:noMultiLvlLbl val="0"/>
      </c:catAx>
      <c:valAx>
        <c:axId val="826947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Registered accounts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947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Registered accounts November 2025 - March 2026: </a:t>
            </a:r>
          </a:p>
          <a:p>
            <a:pPr>
              <a:defRPr/>
            </a:pPr>
            <a:r>
              <a:rPr lang="en-US"/>
              <a:t>Number of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25_26'!$T$92</c:f>
              <c:strCache>
                <c:ptCount val="1"/>
                <c:pt idx="0">
                  <c:v>Registered accounts</c:v>
                </c:pt>
              </c:strCache>
            </c:strRef>
          </c:tx>
          <c:spPr>
            <a:solidFill>
              <a:srgbClr val="04075B"/>
            </a:solidFill>
            <a:ln>
              <a:solidFill>
                <a:srgbClr val="04075B"/>
              </a:solidFill>
            </a:ln>
            <a:effectLst/>
          </c:spPr>
          <c:invertIfNegative val="0"/>
          <c:dLbls>
            <c:dLbl>
              <c:idx val="0"/>
              <c:tx>
                <c:rich>
                  <a:bodyPr/>
                  <a:lstStyle/>
                  <a:p>
                    <a:fld id="{E4D38775-812C-4686-95FF-38F4B6B4E9EC}"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E4B-41EC-A01E-D377209F5BAF}"/>
                </c:ext>
              </c:extLst>
            </c:dLbl>
            <c:dLbl>
              <c:idx val="1"/>
              <c:tx>
                <c:rich>
                  <a:bodyPr/>
                  <a:lstStyle/>
                  <a:p>
                    <a:fld id="{9119F5AB-6DC2-4176-A6FE-4B84A6CCC3F3}"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E4B-41EC-A01E-D377209F5BAF}"/>
                </c:ext>
              </c:extLst>
            </c:dLbl>
            <c:dLbl>
              <c:idx val="2"/>
              <c:tx>
                <c:rich>
                  <a:bodyPr/>
                  <a:lstStyle/>
                  <a:p>
                    <a:fld id="{6A28623B-106A-403B-AB66-96AEB495502B}"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E4B-41EC-A01E-D377209F5BAF}"/>
                </c:ext>
              </c:extLst>
            </c:dLbl>
            <c:dLbl>
              <c:idx val="3"/>
              <c:tx>
                <c:rich>
                  <a:bodyPr/>
                  <a:lstStyle/>
                  <a:p>
                    <a:fld id="{D2F37C1F-C429-4C65-95A1-496728CF079C}"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E4B-41EC-A01E-D377209F5BAF}"/>
                </c:ext>
              </c:extLst>
            </c:dLbl>
            <c:dLbl>
              <c:idx val="4"/>
              <c:tx>
                <c:rich>
                  <a:bodyPr/>
                  <a:lstStyle/>
                  <a:p>
                    <a:fld id="{78378C0C-22B7-45F2-AF81-AD717221C242}"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E4B-41EC-A01E-D377209F5BAF}"/>
                </c:ext>
              </c:extLst>
            </c:dLbl>
            <c:dLbl>
              <c:idx val="5"/>
              <c:tx>
                <c:rich>
                  <a:bodyPr/>
                  <a:lstStyle/>
                  <a:p>
                    <a:fld id="{61358EE2-B7AB-472B-9485-E0833D1A9E70}"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E4B-41EC-A01E-D377209F5BAF}"/>
                </c:ext>
              </c:extLst>
            </c:dLbl>
            <c:dLbl>
              <c:idx val="6"/>
              <c:tx>
                <c:rich>
                  <a:bodyPr/>
                  <a:lstStyle/>
                  <a:p>
                    <a:fld id="{0DCB0BCB-7542-46B5-B508-5187C7D7FCD0}"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E4B-41EC-A01E-D377209F5BA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'Graphs 25_26'!$S$93:$S$99</c:f>
              <c:strCache>
                <c:ptCount val="7"/>
                <c:pt idx="0">
                  <c:v>1000+</c:v>
                </c:pt>
                <c:pt idx="1">
                  <c:v>250 - 999</c:v>
                </c:pt>
                <c:pt idx="2">
                  <c:v>100 - 249</c:v>
                </c:pt>
                <c:pt idx="3">
                  <c:v>50 - 99</c:v>
                </c:pt>
                <c:pt idx="4">
                  <c:v>20 - 49</c:v>
                </c:pt>
                <c:pt idx="5">
                  <c:v>10 - 19</c:v>
                </c:pt>
                <c:pt idx="6">
                  <c:v>1 - 10</c:v>
                </c:pt>
              </c:strCache>
            </c:strRef>
          </c:cat>
          <c:val>
            <c:numRef>
              <c:f>'Graphs 25_26'!$T$93:$T$99</c:f>
              <c:numCache>
                <c:formatCode>General</c:formatCode>
                <c:ptCount val="7"/>
                <c:pt idx="0">
                  <c:v>20</c:v>
                </c:pt>
                <c:pt idx="1">
                  <c:v>20</c:v>
                </c:pt>
                <c:pt idx="2">
                  <c:v>20</c:v>
                </c:pt>
                <c:pt idx="3">
                  <c:v>20</c:v>
                </c:pt>
                <c:pt idx="4">
                  <c:v>20</c:v>
                </c:pt>
                <c:pt idx="5">
                  <c:v>20</c:v>
                </c:pt>
                <c:pt idx="6">
                  <c:v>20</c:v>
                </c:pt>
              </c:numCache>
            </c:numRef>
          </c:val>
          <c:extLst>
            <c:ext xmlns:c15="http://schemas.microsoft.com/office/drawing/2012/chart" uri="{02D57815-91ED-43cb-92C2-25804820EDAC}">
              <c15:datalabelsRange>
                <c15:f>'Graphs 25_26'!$U$93:$U$99</c15:f>
                <c15:dlblRangeCache>
                  <c:ptCount val="7"/>
                  <c:pt idx="0">
                    <c:v>14%</c:v>
                  </c:pt>
                  <c:pt idx="1">
                    <c:v>14%</c:v>
                  </c:pt>
                  <c:pt idx="2">
                    <c:v>14%</c:v>
                  </c:pt>
                  <c:pt idx="3">
                    <c:v>14%</c:v>
                  </c:pt>
                  <c:pt idx="4">
                    <c:v>14%</c:v>
                  </c:pt>
                  <c:pt idx="5">
                    <c:v>14%</c:v>
                  </c:pt>
                  <c:pt idx="6">
                    <c:v>14%</c:v>
                  </c:pt>
                </c15:dlblRangeCache>
              </c15:datalabelsRange>
            </c:ext>
            <c:ext xmlns:c16="http://schemas.microsoft.com/office/drawing/2014/chart" uri="{C3380CC4-5D6E-409C-BE32-E72D297353CC}">
              <c16:uniqueId val="{00000000-2374-4A50-844E-D4660F659D23}"/>
            </c:ext>
          </c:extLst>
        </c:ser>
        <c:dLbls>
          <c:dLblPos val="outEnd"/>
          <c:showLegendKey val="0"/>
          <c:showVal val="1"/>
          <c:showCatName val="0"/>
          <c:showSerName val="0"/>
          <c:showPercent val="0"/>
          <c:showBubbleSize val="0"/>
        </c:dLbls>
        <c:gapWidth val="219"/>
        <c:overlap val="-27"/>
        <c:axId val="836973392"/>
        <c:axId val="836970992"/>
      </c:barChart>
      <c:catAx>
        <c:axId val="836973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employees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70992"/>
        <c:crosses val="autoZero"/>
        <c:auto val="1"/>
        <c:lblAlgn val="ctr"/>
        <c:lblOffset val="100"/>
        <c:noMultiLvlLbl val="0"/>
      </c:catAx>
      <c:valAx>
        <c:axId val="83697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Registered</a:t>
                </a:r>
                <a:r>
                  <a:rPr lang="en-GB" baseline="0"/>
                  <a:t> accounts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73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Survey completions November 2025 - March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25_26'!$W$58</c:f>
              <c:strCache>
                <c:ptCount val="1"/>
                <c:pt idx="0">
                  <c:v>Survey completions</c:v>
                </c:pt>
              </c:strCache>
            </c:strRef>
          </c:tx>
          <c:spPr>
            <a:solidFill>
              <a:srgbClr val="04075B"/>
            </a:solidFill>
            <a:ln>
              <a:solidFill>
                <a:srgbClr val="04075B"/>
              </a:solidFill>
            </a:ln>
            <a:effectLst/>
          </c:spPr>
          <c:invertIfNegative val="0"/>
          <c:cat>
            <c:strRef>
              <c:f>'Graphs 25_26'!$S$59:$S$63</c:f>
              <c:strCache>
                <c:ptCount val="5"/>
                <c:pt idx="0">
                  <c:v>November</c:v>
                </c:pt>
                <c:pt idx="1">
                  <c:v>December</c:v>
                </c:pt>
                <c:pt idx="2">
                  <c:v>January</c:v>
                </c:pt>
                <c:pt idx="3">
                  <c:v>February</c:v>
                </c:pt>
                <c:pt idx="4">
                  <c:v>March</c:v>
                </c:pt>
              </c:strCache>
            </c:strRef>
          </c:cat>
          <c:val>
            <c:numRef>
              <c:f>'Graphs 25_26'!$W$59:$W$63</c:f>
              <c:numCache>
                <c:formatCode>General</c:formatCode>
                <c:ptCount val="5"/>
                <c:pt idx="0">
                  <c:v>20</c:v>
                </c:pt>
                <c:pt idx="1">
                  <c:v>20</c:v>
                </c:pt>
                <c:pt idx="2">
                  <c:v>20</c:v>
                </c:pt>
                <c:pt idx="3">
                  <c:v>20</c:v>
                </c:pt>
                <c:pt idx="4">
                  <c:v>20</c:v>
                </c:pt>
              </c:numCache>
            </c:numRef>
          </c:val>
          <c:extLst>
            <c:ext xmlns:c16="http://schemas.microsoft.com/office/drawing/2014/chart" uri="{C3380CC4-5D6E-409C-BE32-E72D297353CC}">
              <c16:uniqueId val="{00000000-FB49-437B-9F25-CFDABDDFDAA3}"/>
            </c:ext>
          </c:extLst>
        </c:ser>
        <c:dLbls>
          <c:showLegendKey val="0"/>
          <c:showVal val="0"/>
          <c:showCatName val="0"/>
          <c:showSerName val="0"/>
          <c:showPercent val="0"/>
          <c:showBubbleSize val="0"/>
        </c:dLbls>
        <c:gapWidth val="219"/>
        <c:axId val="1710022352"/>
        <c:axId val="1710018512"/>
      </c:barChart>
      <c:lineChart>
        <c:grouping val="standard"/>
        <c:varyColors val="0"/>
        <c:ser>
          <c:idx val="1"/>
          <c:order val="1"/>
          <c:tx>
            <c:v>Cumulative total YTD</c:v>
          </c:tx>
          <c:spPr>
            <a:ln w="28575" cap="rnd">
              <a:solidFill>
                <a:srgbClr val="EF2B5E"/>
              </a:solidFill>
              <a:round/>
            </a:ln>
            <a:effectLst/>
          </c:spPr>
          <c:marker>
            <c:symbol val="none"/>
          </c:marker>
          <c:val>
            <c:numRef>
              <c:f>'Graphs 25_26'!$X$59:$X$63</c:f>
              <c:numCache>
                <c:formatCode>General</c:formatCode>
                <c:ptCount val="5"/>
                <c:pt idx="0">
                  <c:v>20</c:v>
                </c:pt>
                <c:pt idx="1">
                  <c:v>40</c:v>
                </c:pt>
                <c:pt idx="2">
                  <c:v>60</c:v>
                </c:pt>
                <c:pt idx="3">
                  <c:v>80</c:v>
                </c:pt>
                <c:pt idx="4">
                  <c:v>100</c:v>
                </c:pt>
              </c:numCache>
            </c:numRef>
          </c:val>
          <c:smooth val="0"/>
          <c:extLst>
            <c:ext xmlns:c16="http://schemas.microsoft.com/office/drawing/2014/chart" uri="{C3380CC4-5D6E-409C-BE32-E72D297353CC}">
              <c16:uniqueId val="{00000001-FB49-437B-9F25-CFDABDDFDAA3}"/>
            </c:ext>
          </c:extLst>
        </c:ser>
        <c:dLbls>
          <c:showLegendKey val="0"/>
          <c:showVal val="0"/>
          <c:showCatName val="0"/>
          <c:showSerName val="0"/>
          <c:showPercent val="0"/>
          <c:showBubbleSize val="0"/>
        </c:dLbls>
        <c:marker val="1"/>
        <c:smooth val="0"/>
        <c:axId val="1336918223"/>
        <c:axId val="1336928303"/>
      </c:lineChart>
      <c:catAx>
        <c:axId val="1710022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018512"/>
        <c:crosses val="autoZero"/>
        <c:auto val="1"/>
        <c:lblAlgn val="ctr"/>
        <c:lblOffset val="100"/>
        <c:noMultiLvlLbl val="0"/>
      </c:catAx>
      <c:valAx>
        <c:axId val="1710018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Survey</a:t>
                </a:r>
                <a:r>
                  <a:rPr lang="en-GB" baseline="0"/>
                  <a:t> completion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022352"/>
        <c:crosses val="autoZero"/>
        <c:crossBetween val="between"/>
      </c:valAx>
      <c:valAx>
        <c:axId val="133692830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Cumulative</a:t>
                </a:r>
                <a:r>
                  <a:rPr lang="en-GB" baseline="0"/>
                  <a:t>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918223"/>
        <c:crosses val="max"/>
        <c:crossBetween val="between"/>
      </c:valAx>
      <c:catAx>
        <c:axId val="1336918223"/>
        <c:scaling>
          <c:orientation val="minMax"/>
        </c:scaling>
        <c:delete val="1"/>
        <c:axPos val="b"/>
        <c:majorTickMark val="out"/>
        <c:minorTickMark val="none"/>
        <c:tickLblPos val="nextTo"/>
        <c:crossAx val="13369283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Survey completions November 2025 - March 2026: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25_26'!$V$74</c:f>
              <c:strCache>
                <c:ptCount val="1"/>
                <c:pt idx="0">
                  <c:v>Survey completions</c:v>
                </c:pt>
              </c:strCache>
            </c:strRef>
          </c:tx>
          <c:spPr>
            <a:solidFill>
              <a:srgbClr val="04075B"/>
            </a:solidFill>
            <a:ln>
              <a:solidFill>
                <a:srgbClr val="04075B"/>
              </a:solidFill>
            </a:ln>
            <a:effectLst/>
          </c:spPr>
          <c:invertIfNegative val="0"/>
          <c:dLbls>
            <c:dLbl>
              <c:idx val="0"/>
              <c:tx>
                <c:rich>
                  <a:bodyPr/>
                  <a:lstStyle/>
                  <a:p>
                    <a:fld id="{19BA861B-85E3-4E83-B63B-3FA95D1B8DB8}"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185-4F0E-9963-2F0E591EF361}"/>
                </c:ext>
              </c:extLst>
            </c:dLbl>
            <c:dLbl>
              <c:idx val="1"/>
              <c:tx>
                <c:rich>
                  <a:bodyPr/>
                  <a:lstStyle/>
                  <a:p>
                    <a:fld id="{5224D620-6FEC-4677-93C6-E754DC5F5092}"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185-4F0E-9963-2F0E591EF361}"/>
                </c:ext>
              </c:extLst>
            </c:dLbl>
            <c:dLbl>
              <c:idx val="2"/>
              <c:tx>
                <c:rich>
                  <a:bodyPr/>
                  <a:lstStyle/>
                  <a:p>
                    <a:fld id="{C6FAFD69-4ED7-49A1-8650-7D155DCF7166}"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185-4F0E-9963-2F0E591EF361}"/>
                </c:ext>
              </c:extLst>
            </c:dLbl>
            <c:dLbl>
              <c:idx val="3"/>
              <c:tx>
                <c:rich>
                  <a:bodyPr/>
                  <a:lstStyle/>
                  <a:p>
                    <a:fld id="{0ECAE7FB-15A1-4298-91A0-CC691A448DCB}"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185-4F0E-9963-2F0E591EF3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'Graphs 25_26'!$S$75:$S$78</c:f>
              <c:strCache>
                <c:ptCount val="4"/>
                <c:pt idx="0">
                  <c:v>Public Sector (local or central government financed organisation)</c:v>
                </c:pt>
                <c:pt idx="1">
                  <c:v>Private Sector</c:v>
                </c:pt>
                <c:pt idx="2">
                  <c:v>Charity or voluntary sector (including social enterprises)</c:v>
                </c:pt>
                <c:pt idx="3">
                  <c:v>other_options</c:v>
                </c:pt>
              </c:strCache>
            </c:strRef>
          </c:cat>
          <c:val>
            <c:numRef>
              <c:f>'Graphs 25_26'!$V$75:$V$78</c:f>
              <c:numCache>
                <c:formatCode>General</c:formatCode>
                <c:ptCount val="4"/>
                <c:pt idx="0">
                  <c:v>20</c:v>
                </c:pt>
                <c:pt idx="1">
                  <c:v>20</c:v>
                </c:pt>
                <c:pt idx="2">
                  <c:v>20</c:v>
                </c:pt>
                <c:pt idx="3">
                  <c:v>20</c:v>
                </c:pt>
              </c:numCache>
            </c:numRef>
          </c:val>
          <c:extLst>
            <c:ext xmlns:c15="http://schemas.microsoft.com/office/drawing/2012/chart" uri="{02D57815-91ED-43cb-92C2-25804820EDAC}">
              <c15:datalabelsRange>
                <c15:f>'Graphs 25_26'!$W$75:$W$78</c15:f>
                <c15:dlblRangeCache>
                  <c:ptCount val="4"/>
                  <c:pt idx="0">
                    <c:v>25%</c:v>
                  </c:pt>
                  <c:pt idx="1">
                    <c:v>25%</c:v>
                  </c:pt>
                  <c:pt idx="2">
                    <c:v>25%</c:v>
                  </c:pt>
                  <c:pt idx="3">
                    <c:v>25%</c:v>
                  </c:pt>
                </c15:dlblRangeCache>
              </c15:datalabelsRange>
            </c:ext>
            <c:ext xmlns:c16="http://schemas.microsoft.com/office/drawing/2014/chart" uri="{C3380CC4-5D6E-409C-BE32-E72D297353CC}">
              <c16:uniqueId val="{00000000-FFC3-41BC-9E69-6F5344BBE375}"/>
            </c:ext>
          </c:extLst>
        </c:ser>
        <c:dLbls>
          <c:dLblPos val="outEnd"/>
          <c:showLegendKey val="0"/>
          <c:showVal val="1"/>
          <c:showCatName val="0"/>
          <c:showSerName val="0"/>
          <c:showPercent val="0"/>
          <c:showBubbleSize val="0"/>
        </c:dLbls>
        <c:gapWidth val="219"/>
        <c:overlap val="-27"/>
        <c:axId val="1336835663"/>
        <c:axId val="1336833743"/>
      </c:barChart>
      <c:catAx>
        <c:axId val="1336835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Sector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833743"/>
        <c:crosses val="autoZero"/>
        <c:auto val="1"/>
        <c:lblAlgn val="ctr"/>
        <c:lblOffset val="100"/>
        <c:noMultiLvlLbl val="0"/>
      </c:catAx>
      <c:valAx>
        <c:axId val="1336833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Survey</a:t>
                </a:r>
                <a:r>
                  <a:rPr lang="en-GB" baseline="0"/>
                  <a:t> completion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8356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Survey completions November 2025 - March 2026: number of employees</a:t>
            </a:r>
          </a:p>
        </c:rich>
      </c:tx>
      <c:layout>
        <c:manualLayout>
          <c:xMode val="edge"/>
          <c:yMode val="edge"/>
          <c:x val="0.10659618468488602"/>
          <c:y val="2.20541935788607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25_26'!$V$92</c:f>
              <c:strCache>
                <c:ptCount val="1"/>
                <c:pt idx="0">
                  <c:v>Survey completions</c:v>
                </c:pt>
              </c:strCache>
            </c:strRef>
          </c:tx>
          <c:spPr>
            <a:solidFill>
              <a:srgbClr val="04075B"/>
            </a:solidFill>
            <a:ln>
              <a:solidFill>
                <a:srgbClr val="04075B"/>
              </a:solidFill>
            </a:ln>
            <a:effectLst/>
          </c:spPr>
          <c:invertIfNegative val="0"/>
          <c:dLbls>
            <c:dLbl>
              <c:idx val="0"/>
              <c:tx>
                <c:rich>
                  <a:bodyPr/>
                  <a:lstStyle/>
                  <a:p>
                    <a:fld id="{56DE9F7A-E594-4F92-8104-99F6717EE095}"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F75-48A2-9E5B-E86B2BF679A7}"/>
                </c:ext>
              </c:extLst>
            </c:dLbl>
            <c:dLbl>
              <c:idx val="1"/>
              <c:tx>
                <c:rich>
                  <a:bodyPr/>
                  <a:lstStyle/>
                  <a:p>
                    <a:fld id="{7205D7B8-DF56-4D30-817D-2A50A7CB2156}"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F75-48A2-9E5B-E86B2BF679A7}"/>
                </c:ext>
              </c:extLst>
            </c:dLbl>
            <c:dLbl>
              <c:idx val="2"/>
              <c:tx>
                <c:rich>
                  <a:bodyPr/>
                  <a:lstStyle/>
                  <a:p>
                    <a:fld id="{4A2F0420-FEAF-45BA-8DEF-1462E46CA37B}"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F75-48A2-9E5B-E86B2BF679A7}"/>
                </c:ext>
              </c:extLst>
            </c:dLbl>
            <c:dLbl>
              <c:idx val="3"/>
              <c:tx>
                <c:rich>
                  <a:bodyPr/>
                  <a:lstStyle/>
                  <a:p>
                    <a:fld id="{3382E02A-A639-4BB4-8C41-DDFBDCC6394C}"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F75-48A2-9E5B-E86B2BF679A7}"/>
                </c:ext>
              </c:extLst>
            </c:dLbl>
            <c:dLbl>
              <c:idx val="4"/>
              <c:tx>
                <c:rich>
                  <a:bodyPr/>
                  <a:lstStyle/>
                  <a:p>
                    <a:fld id="{3000A96C-90DE-423C-8616-6A9AA1DE4296}"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F75-48A2-9E5B-E86B2BF679A7}"/>
                </c:ext>
              </c:extLst>
            </c:dLbl>
            <c:dLbl>
              <c:idx val="5"/>
              <c:tx>
                <c:rich>
                  <a:bodyPr/>
                  <a:lstStyle/>
                  <a:p>
                    <a:fld id="{11967D36-3D48-4497-BE0D-6080C3780867}"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F75-48A2-9E5B-E86B2BF679A7}"/>
                </c:ext>
              </c:extLst>
            </c:dLbl>
            <c:dLbl>
              <c:idx val="6"/>
              <c:tx>
                <c:rich>
                  <a:bodyPr/>
                  <a:lstStyle/>
                  <a:p>
                    <a:fld id="{CFCA8FCB-4382-475D-A9D9-1A22FA7872D9}"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F75-48A2-9E5B-E86B2BF679A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'Graphs 25_26'!$S$93:$S$99</c:f>
              <c:strCache>
                <c:ptCount val="7"/>
                <c:pt idx="0">
                  <c:v>1000+</c:v>
                </c:pt>
                <c:pt idx="1">
                  <c:v>250 - 999</c:v>
                </c:pt>
                <c:pt idx="2">
                  <c:v>100 - 249</c:v>
                </c:pt>
                <c:pt idx="3">
                  <c:v>50 - 99</c:v>
                </c:pt>
                <c:pt idx="4">
                  <c:v>20 - 49</c:v>
                </c:pt>
                <c:pt idx="5">
                  <c:v>10 - 19</c:v>
                </c:pt>
                <c:pt idx="6">
                  <c:v>1 - 10</c:v>
                </c:pt>
              </c:strCache>
            </c:strRef>
          </c:cat>
          <c:val>
            <c:numRef>
              <c:f>'Graphs 25_26'!$V$93:$V$99</c:f>
              <c:numCache>
                <c:formatCode>General</c:formatCode>
                <c:ptCount val="7"/>
                <c:pt idx="0">
                  <c:v>15</c:v>
                </c:pt>
                <c:pt idx="1">
                  <c:v>15</c:v>
                </c:pt>
                <c:pt idx="2">
                  <c:v>15</c:v>
                </c:pt>
                <c:pt idx="3">
                  <c:v>15</c:v>
                </c:pt>
                <c:pt idx="4">
                  <c:v>15</c:v>
                </c:pt>
                <c:pt idx="5">
                  <c:v>15</c:v>
                </c:pt>
                <c:pt idx="6">
                  <c:v>15</c:v>
                </c:pt>
              </c:numCache>
            </c:numRef>
          </c:val>
          <c:extLst>
            <c:ext xmlns:c15="http://schemas.microsoft.com/office/drawing/2012/chart" uri="{02D57815-91ED-43cb-92C2-25804820EDAC}">
              <c15:datalabelsRange>
                <c15:f>'Graphs 25_26'!$W$93:$W$99</c15:f>
                <c15:dlblRangeCache>
                  <c:ptCount val="7"/>
                  <c:pt idx="0">
                    <c:v>14%</c:v>
                  </c:pt>
                  <c:pt idx="1">
                    <c:v>14%</c:v>
                  </c:pt>
                  <c:pt idx="2">
                    <c:v>14%</c:v>
                  </c:pt>
                  <c:pt idx="3">
                    <c:v>14%</c:v>
                  </c:pt>
                  <c:pt idx="4">
                    <c:v>14%</c:v>
                  </c:pt>
                  <c:pt idx="5">
                    <c:v>14%</c:v>
                  </c:pt>
                  <c:pt idx="6">
                    <c:v>14%</c:v>
                  </c:pt>
                </c15:dlblRangeCache>
              </c15:datalabelsRange>
            </c:ext>
            <c:ext xmlns:c16="http://schemas.microsoft.com/office/drawing/2014/chart" uri="{C3380CC4-5D6E-409C-BE32-E72D297353CC}">
              <c16:uniqueId val="{00000000-120B-46B8-BC04-A17646CE6C6F}"/>
            </c:ext>
          </c:extLst>
        </c:ser>
        <c:dLbls>
          <c:dLblPos val="outEnd"/>
          <c:showLegendKey val="0"/>
          <c:showVal val="1"/>
          <c:showCatName val="0"/>
          <c:showSerName val="0"/>
          <c:showPercent val="0"/>
          <c:showBubbleSize val="0"/>
        </c:dLbls>
        <c:gapWidth val="219"/>
        <c:overlap val="-27"/>
        <c:axId val="1580717983"/>
        <c:axId val="1580727103"/>
      </c:barChart>
      <c:catAx>
        <c:axId val="1580717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a:t>
                </a:r>
                <a:r>
                  <a:rPr lang="en-GB" baseline="0"/>
                  <a:t> of employees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27103"/>
        <c:crosses val="autoZero"/>
        <c:auto val="1"/>
        <c:lblAlgn val="ctr"/>
        <c:lblOffset val="100"/>
        <c:noMultiLvlLbl val="0"/>
      </c:catAx>
      <c:valAx>
        <c:axId val="1580727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Survey</a:t>
                </a:r>
                <a:r>
                  <a:rPr lang="en-GB" baseline="0"/>
                  <a:t> completion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17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Survey completions 2025-26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25_26'!$W$64</c:f>
              <c:strCache>
                <c:ptCount val="1"/>
                <c:pt idx="0">
                  <c:v>Survey completions</c:v>
                </c:pt>
              </c:strCache>
            </c:strRef>
          </c:tx>
          <c:spPr>
            <a:solidFill>
              <a:srgbClr val="04075B"/>
            </a:solidFill>
            <a:ln>
              <a:solidFill>
                <a:srgbClr val="04075B"/>
              </a:solidFill>
            </a:ln>
            <a:effectLst/>
          </c:spPr>
          <c:invertIfNegative val="0"/>
          <c:cat>
            <c:strRef>
              <c:f>'Graphs 25_26'!$S$65:$S$66</c:f>
              <c:strCache>
                <c:ptCount val="2"/>
                <c:pt idx="0">
                  <c:v>Q3</c:v>
                </c:pt>
                <c:pt idx="1">
                  <c:v>Q4</c:v>
                </c:pt>
              </c:strCache>
            </c:strRef>
          </c:cat>
          <c:val>
            <c:numRef>
              <c:f>'Graphs 25_26'!$W$65:$W$66</c:f>
              <c:numCache>
                <c:formatCode>General</c:formatCode>
                <c:ptCount val="2"/>
                <c:pt idx="0">
                  <c:v>40</c:v>
                </c:pt>
                <c:pt idx="1">
                  <c:v>60</c:v>
                </c:pt>
              </c:numCache>
            </c:numRef>
          </c:val>
          <c:extLst>
            <c:ext xmlns:c16="http://schemas.microsoft.com/office/drawing/2014/chart" uri="{C3380CC4-5D6E-409C-BE32-E72D297353CC}">
              <c16:uniqueId val="{00000000-716B-43E3-9BDA-B34E910559C1}"/>
            </c:ext>
          </c:extLst>
        </c:ser>
        <c:dLbls>
          <c:showLegendKey val="0"/>
          <c:showVal val="0"/>
          <c:showCatName val="0"/>
          <c:showSerName val="0"/>
          <c:showPercent val="0"/>
          <c:showBubbleSize val="0"/>
        </c:dLbls>
        <c:gapWidth val="219"/>
        <c:axId val="1359290463"/>
        <c:axId val="1359293343"/>
      </c:barChart>
      <c:lineChart>
        <c:grouping val="standard"/>
        <c:varyColors val="0"/>
        <c:ser>
          <c:idx val="1"/>
          <c:order val="1"/>
          <c:tx>
            <c:v>Cumulative</c:v>
          </c:tx>
          <c:spPr>
            <a:ln w="28575" cap="rnd">
              <a:solidFill>
                <a:srgbClr val="EF2B5E"/>
              </a:solidFill>
              <a:round/>
            </a:ln>
            <a:effectLst/>
          </c:spPr>
          <c:marker>
            <c:symbol val="none"/>
          </c:marker>
          <c:val>
            <c:numRef>
              <c:f>'Graphs 25_26'!$X$65:$X$66</c:f>
              <c:numCache>
                <c:formatCode>General</c:formatCode>
                <c:ptCount val="2"/>
                <c:pt idx="0">
                  <c:v>40</c:v>
                </c:pt>
                <c:pt idx="1">
                  <c:v>100</c:v>
                </c:pt>
              </c:numCache>
            </c:numRef>
          </c:val>
          <c:smooth val="0"/>
          <c:extLst>
            <c:ext xmlns:c16="http://schemas.microsoft.com/office/drawing/2014/chart" uri="{C3380CC4-5D6E-409C-BE32-E72D297353CC}">
              <c16:uniqueId val="{00000002-716B-43E3-9BDA-B34E910559C1}"/>
            </c:ext>
          </c:extLst>
        </c:ser>
        <c:dLbls>
          <c:showLegendKey val="0"/>
          <c:showVal val="0"/>
          <c:showCatName val="0"/>
          <c:showSerName val="0"/>
          <c:showPercent val="0"/>
          <c:showBubbleSize val="0"/>
        </c:dLbls>
        <c:marker val="1"/>
        <c:smooth val="0"/>
        <c:axId val="1762870303"/>
        <c:axId val="1762859743"/>
      </c:lineChart>
      <c:catAx>
        <c:axId val="135929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2025-26</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293343"/>
        <c:crosses val="autoZero"/>
        <c:auto val="1"/>
        <c:lblAlgn val="ctr"/>
        <c:lblOffset val="100"/>
        <c:noMultiLvlLbl val="0"/>
      </c:catAx>
      <c:valAx>
        <c:axId val="1359293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Survey completion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290463"/>
        <c:crosses val="autoZero"/>
        <c:crossBetween val="between"/>
      </c:valAx>
      <c:valAx>
        <c:axId val="176285974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Cumulative</a:t>
                </a:r>
                <a:r>
                  <a:rPr lang="en-GB" baseline="0"/>
                  <a:t>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870303"/>
        <c:crosses val="max"/>
        <c:crossBetween val="between"/>
      </c:valAx>
      <c:catAx>
        <c:axId val="1762870303"/>
        <c:scaling>
          <c:orientation val="minMax"/>
        </c:scaling>
        <c:delete val="1"/>
        <c:axPos val="b"/>
        <c:majorTickMark val="out"/>
        <c:minorTickMark val="none"/>
        <c:tickLblPos val="nextTo"/>
        <c:crossAx val="17628597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634943853843549E-2"/>
          <c:y val="6.9217037824322605E-2"/>
          <c:w val="0.81202441047274809"/>
          <c:h val="0.75784276719691357"/>
        </c:manualLayout>
      </c:layout>
      <c:barChart>
        <c:barDir val="col"/>
        <c:grouping val="clustered"/>
        <c:varyColors val="0"/>
        <c:ser>
          <c:idx val="0"/>
          <c:order val="0"/>
          <c:tx>
            <c:strRef>
              <c:f>'Website metrics 25_26'!$A$2</c:f>
              <c:strCache>
                <c:ptCount val="1"/>
                <c:pt idx="0">
                  <c:v>Visitors</c:v>
                </c:pt>
              </c:strCache>
            </c:strRef>
          </c:tx>
          <c:spPr>
            <a:solidFill>
              <a:srgbClr val="04075B"/>
            </a:solidFill>
            <a:ln w="28575" cap="rnd">
              <a:solidFill>
                <a:srgbClr val="04075B"/>
              </a:solidFill>
              <a:round/>
            </a:ln>
            <a:effectLst/>
          </c:spPr>
          <c:invertIfNegative val="0"/>
          <c:dLbls>
            <c:dLbl>
              <c:idx val="7"/>
              <c:tx>
                <c:rich>
                  <a:bodyPr/>
                  <a:lstStyle/>
                  <a:p>
                    <a:r>
                      <a:rPr lang="en-US" sz="1200">
                        <a:solidFill>
                          <a:sysClr val="windowText" lastClr="000000"/>
                        </a:solidFill>
                      </a:rPr>
                      <a:t>Marketing</a:t>
                    </a:r>
                    <a:r>
                      <a:rPr lang="en-US" sz="1200" baseline="0">
                        <a:solidFill>
                          <a:sysClr val="windowText" lastClr="000000"/>
                        </a:solidFill>
                      </a:rPr>
                      <a:t> activity </a:t>
                    </a:r>
                  </a:p>
                  <a:p>
                    <a:r>
                      <a:rPr lang="en-US" sz="1200" baseline="0">
                        <a:solidFill>
                          <a:sysClr val="windowText" lastClr="000000"/>
                        </a:solidFill>
                      </a:rPr>
                      <a:t>12 Nov - 30 Nov</a:t>
                    </a:r>
                    <a:endParaRPr lang="en-US" sz="1200">
                      <a:solidFill>
                        <a:sysClr val="windowText" lastClr="000000"/>
                      </a:solidFill>
                    </a:endParaRPr>
                  </a:p>
                </c:rich>
              </c:tx>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5B-4BC8-BEDF-E26D61E8D849}"/>
                </c:ext>
              </c:extLst>
            </c:dLbl>
            <c:dLbl>
              <c:idx val="9"/>
              <c:tx>
                <c:rich>
                  <a:bodyPr rot="0" spcFirstLastPara="1" vertOverflow="clip" horzOverflow="clip" vert="horz" wrap="square" lIns="38100" tIns="19050" rIns="38100" bIns="19050" anchor="ctr" anchorCtr="0">
                    <a:spAutoFit/>
                  </a:bodyPr>
                  <a:lstStyle/>
                  <a:p>
                    <a:pPr algn="ctr">
                      <a:defRPr sz="900" b="0" i="0" u="none" strike="noStrike" kern="1200" baseline="0">
                        <a:solidFill>
                          <a:schemeClr val="dk1">
                            <a:lumMod val="65000"/>
                            <a:lumOff val="35000"/>
                          </a:schemeClr>
                        </a:solidFill>
                        <a:latin typeface="+mn-lt"/>
                        <a:ea typeface="+mn-ea"/>
                        <a:cs typeface="+mn-cs"/>
                      </a:defRPr>
                    </a:pPr>
                    <a:r>
                      <a:rPr lang="en-US" sz="1200">
                        <a:solidFill>
                          <a:sysClr val="windowText" lastClr="000000"/>
                        </a:solidFill>
                      </a:rPr>
                      <a:t>Marketing activity </a:t>
                    </a:r>
                  </a:p>
                  <a:p>
                    <a:pPr algn="ctr">
                      <a:defRPr/>
                    </a:pPr>
                    <a:r>
                      <a:rPr lang="en-US" sz="1200">
                        <a:solidFill>
                          <a:sysClr val="windowText" lastClr="000000"/>
                        </a:solidFill>
                      </a:rPr>
                      <a:t>5-31</a:t>
                    </a:r>
                    <a:r>
                      <a:rPr lang="en-US" sz="1200" baseline="0">
                        <a:solidFill>
                          <a:sysClr val="windowText" lastClr="000000"/>
                        </a:solidFill>
                      </a:rPr>
                      <a:t> Jan</a:t>
                    </a:r>
                    <a:endParaRPr lang="en-US" sz="120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0"/>
                </c:ext>
                <c:ext xmlns:c16="http://schemas.microsoft.com/office/drawing/2014/chart" uri="{C3380CC4-5D6E-409C-BE32-E72D297353CC}">
                  <c16:uniqueId val="{00000003-885B-4BC8-BEDF-E26D61E8D84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('Website metrics 25_26'!$B$1,'Website metrics 25_26'!$D$1,'Website metrics 25_26'!$G$1,'Website metrics 25_26'!$J$1,'Website metrics 25_26'!$M$1,'Website metrics 25_26'!$P$1,'Website metrics 25_26'!$U$1,'Website metrics 25_26'!$X$1,'Website metrics 25_26'!$AA$1,'Website metrics 25_26'!$AF$1,'Website metrics 25_26'!$AI$1,'Website metrics 25_26'!$AL$1)</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('Website metrics 25_26'!$B$2,'Website metrics 25_26'!$D$2,'Website metrics 25_26'!$G$2,'Website metrics 25_26'!$J$2,'Website metrics 25_26'!$M$2,'Website metrics 25_26'!$P$2,'Website metrics 25_26'!$U$2,'Website metrics 25_26'!$X$2,'Website metrics 25_26'!$AA$2,'Website metrics 25_26'!$AF$2,'Website metrics 25_26'!$AI$2,'Website metrics 25_26'!$AL$2)</c:f>
              <c:numCache>
                <c:formatCode>General</c:formatCode>
                <c:ptCount val="12"/>
                <c:pt idx="0">
                  <c:v>300</c:v>
                </c:pt>
                <c:pt idx="1">
                  <c:v>300</c:v>
                </c:pt>
                <c:pt idx="2">
                  <c:v>300</c:v>
                </c:pt>
                <c:pt idx="3">
                  <c:v>300</c:v>
                </c:pt>
                <c:pt idx="4">
                  <c:v>300</c:v>
                </c:pt>
                <c:pt idx="5">
                  <c:v>300</c:v>
                </c:pt>
                <c:pt idx="6">
                  <c:v>300</c:v>
                </c:pt>
                <c:pt idx="7">
                  <c:v>300</c:v>
                </c:pt>
                <c:pt idx="8">
                  <c:v>300</c:v>
                </c:pt>
                <c:pt idx="9">
                  <c:v>300</c:v>
                </c:pt>
                <c:pt idx="10">
                  <c:v>400</c:v>
                </c:pt>
                <c:pt idx="11">
                  <c:v>400</c:v>
                </c:pt>
              </c:numCache>
            </c:numRef>
          </c:val>
          <c:extLst>
            <c:ext xmlns:c16="http://schemas.microsoft.com/office/drawing/2014/chart" uri="{C3380CC4-5D6E-409C-BE32-E72D297353CC}">
              <c16:uniqueId val="{00000000-885B-4BC8-BEDF-E26D61E8D849}"/>
            </c:ext>
          </c:extLst>
        </c:ser>
        <c:dLbls>
          <c:showLegendKey val="0"/>
          <c:showVal val="0"/>
          <c:showCatName val="0"/>
          <c:showSerName val="0"/>
          <c:showPercent val="0"/>
          <c:showBubbleSize val="0"/>
        </c:dLbls>
        <c:gapWidth val="219"/>
        <c:axId val="2074905871"/>
        <c:axId val="2074904431"/>
      </c:barChart>
      <c:lineChart>
        <c:grouping val="standard"/>
        <c:varyColors val="0"/>
        <c:ser>
          <c:idx val="1"/>
          <c:order val="1"/>
          <c:tx>
            <c:v>Cumulative visitors</c:v>
          </c:tx>
          <c:spPr>
            <a:ln w="28575" cap="rnd">
              <a:solidFill>
                <a:srgbClr val="EF2B5E"/>
              </a:solidFill>
              <a:round/>
            </a:ln>
            <a:effectLst/>
          </c:spPr>
          <c:marker>
            <c:symbol val="none"/>
          </c:marker>
          <c:val>
            <c:numRef>
              <c:f>('Website metrics 25_26'!$C$2,'Website metrics 25_26'!$F$2,'Website metrics 25_26'!$I$2,'Website metrics 25_26'!$L$2,'Website metrics 25_26'!$O$2,'Website metrics 25_26'!$R$2,'Website metrics 25_26'!$W$2,'Website metrics 25_26'!$Z$2,'Website metrics 25_26'!$AC$2,'Website metrics 25_26'!$AH$2,'Website metrics 25_26'!$AK$2,'Website metrics 25_26'!$AN$2)</c:f>
              <c:numCache>
                <c:formatCode>0</c:formatCode>
                <c:ptCount val="12"/>
                <c:pt idx="0">
                  <c:v>300</c:v>
                </c:pt>
                <c:pt idx="1">
                  <c:v>600</c:v>
                </c:pt>
                <c:pt idx="2" formatCode="General">
                  <c:v>900</c:v>
                </c:pt>
                <c:pt idx="3">
                  <c:v>1200</c:v>
                </c:pt>
                <c:pt idx="4">
                  <c:v>1500</c:v>
                </c:pt>
                <c:pt idx="5">
                  <c:v>1800</c:v>
                </c:pt>
                <c:pt idx="6">
                  <c:v>2100</c:v>
                </c:pt>
                <c:pt idx="7">
                  <c:v>2400</c:v>
                </c:pt>
                <c:pt idx="8">
                  <c:v>2700</c:v>
                </c:pt>
                <c:pt idx="9">
                  <c:v>3000</c:v>
                </c:pt>
                <c:pt idx="10">
                  <c:v>3400</c:v>
                </c:pt>
                <c:pt idx="11">
                  <c:v>3800</c:v>
                </c:pt>
              </c:numCache>
            </c:numRef>
          </c:val>
          <c:smooth val="0"/>
          <c:extLst>
            <c:ext xmlns:c16="http://schemas.microsoft.com/office/drawing/2014/chart" uri="{C3380CC4-5D6E-409C-BE32-E72D297353CC}">
              <c16:uniqueId val="{00000001-885B-4BC8-BEDF-E26D61E8D849}"/>
            </c:ext>
          </c:extLst>
        </c:ser>
        <c:dLbls>
          <c:showLegendKey val="0"/>
          <c:showVal val="0"/>
          <c:showCatName val="0"/>
          <c:showSerName val="0"/>
          <c:showPercent val="0"/>
          <c:showBubbleSize val="0"/>
        </c:dLbls>
        <c:marker val="1"/>
        <c:smooth val="0"/>
        <c:axId val="191753423"/>
        <c:axId val="191751023"/>
      </c:lineChart>
      <c:dateAx>
        <c:axId val="2074905871"/>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Month</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74904431"/>
        <c:crosses val="autoZero"/>
        <c:auto val="1"/>
        <c:lblOffset val="100"/>
        <c:baseTimeUnit val="months"/>
      </c:dateAx>
      <c:valAx>
        <c:axId val="2074904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Monthly </a:t>
                </a:r>
                <a:r>
                  <a:rPr lang="en-GB" sz="2000" baseline="0"/>
                  <a:t>visitor count</a:t>
                </a:r>
                <a:endParaRPr lang="en-GB" sz="2000"/>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74905871"/>
        <c:crosses val="autoZero"/>
        <c:crossBetween val="between"/>
      </c:valAx>
      <c:valAx>
        <c:axId val="1917510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2000"/>
                  <a:t>Cumulative visitor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1753423"/>
        <c:crosses val="max"/>
        <c:crossBetween val="between"/>
      </c:valAx>
      <c:catAx>
        <c:axId val="191753423"/>
        <c:scaling>
          <c:orientation val="minMax"/>
        </c:scaling>
        <c:delete val="1"/>
        <c:axPos val="b"/>
        <c:majorTickMark val="out"/>
        <c:minorTickMark val="none"/>
        <c:tickLblPos val="nextTo"/>
        <c:crossAx val="1917510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648135058873682E-2"/>
          <c:y val="5.8719906048150326E-2"/>
          <c:w val="0.80270372988225258"/>
          <c:h val="0.73488452522412961"/>
        </c:manualLayout>
      </c:layout>
      <c:barChart>
        <c:barDir val="col"/>
        <c:grouping val="clustered"/>
        <c:varyColors val="0"/>
        <c:ser>
          <c:idx val="0"/>
          <c:order val="0"/>
          <c:tx>
            <c:strRef>
              <c:f>'Website metrics 25_26'!$A$6</c:f>
              <c:strCache>
                <c:ptCount val="1"/>
                <c:pt idx="0">
                  <c:v>Sessions</c:v>
                </c:pt>
              </c:strCache>
            </c:strRef>
          </c:tx>
          <c:spPr>
            <a:solidFill>
              <a:srgbClr val="04075B"/>
            </a:solidFill>
            <a:ln>
              <a:solidFill>
                <a:srgbClr val="04075B"/>
              </a:solidFill>
            </a:ln>
            <a:effectLst/>
          </c:spPr>
          <c:invertIfNegative val="0"/>
          <c:dLbls>
            <c:dLbl>
              <c:idx val="7"/>
              <c:tx>
                <c:rich>
                  <a:bodyPr/>
                  <a:lstStyle/>
                  <a:p>
                    <a:r>
                      <a:rPr lang="en-US" sz="1200">
                        <a:solidFill>
                          <a:sysClr val="windowText" lastClr="000000"/>
                        </a:solidFill>
                      </a:rPr>
                      <a:t>Marketing activity </a:t>
                    </a:r>
                  </a:p>
                  <a:p>
                    <a:r>
                      <a:rPr lang="en-US" sz="1200">
                        <a:solidFill>
                          <a:sysClr val="windowText" lastClr="000000"/>
                        </a:solidFill>
                      </a:rPr>
                      <a:t>12-30 Nov</a:t>
                    </a:r>
                  </a:p>
                </c:rich>
              </c:tx>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C4D-4988-AA34-10662EC4476F}"/>
                </c:ext>
              </c:extLst>
            </c:dLbl>
            <c:dLbl>
              <c:idx val="9"/>
              <c:tx>
                <c:rich>
                  <a:bodyPr/>
                  <a:lstStyle/>
                  <a:p>
                    <a:r>
                      <a:rPr lang="en-US" sz="1200" b="0" i="0" u="none" strike="noStrike" kern="1200" baseline="0">
                        <a:solidFill>
                          <a:sysClr val="windowText" lastClr="000000"/>
                        </a:solidFill>
                      </a:rPr>
                      <a:t>Marketing activity </a:t>
                    </a:r>
                  </a:p>
                  <a:p>
                    <a:r>
                      <a:rPr lang="en-US" sz="1200" b="0" i="0" u="none" strike="noStrike" kern="1200" baseline="0">
                        <a:solidFill>
                          <a:sysClr val="windowText" lastClr="000000"/>
                        </a:solidFill>
                      </a:rPr>
                      <a:t>5-31 Jan</a:t>
                    </a:r>
                    <a:endParaRPr lang="en-US"/>
                  </a:p>
                </c:rich>
              </c:tx>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C4D-4988-AA34-10662EC4476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('Website metrics 25_26'!$B$1,'Website metrics 25_26'!$D$1,'Website metrics 25_26'!$G$1,'Website metrics 25_26'!$J$1,'Website metrics 25_26'!$M$1,'Website metrics 25_26'!$P$1,'Website metrics 25_26'!$U$1,'Website metrics 25_26'!$X$1,'Website metrics 25_26'!$AA$1,'Website metrics 25_26'!$AF$1,'Website metrics 25_26'!$AI$1,'Website metrics 25_26'!$AL$1)</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('Website metrics 25_26'!$B$6,'Website metrics 25_26'!$D$6,'Website metrics 25_26'!$G$6,'Website metrics 25_26'!$J$6,'Website metrics 25_26'!$M$6,'Website metrics 25_26'!$P$6,'Website metrics 25_26'!$U$6,'Website metrics 25_26'!$X$6,'Website metrics 25_26'!$AA$6,'Website metrics 25_26'!$AF$6,'Website metrics 25_26'!$AI$6,'Website metrics 25_26'!$AL$6)</c:f>
              <c:numCache>
                <c:formatCode>General</c:formatCode>
                <c:ptCount val="12"/>
                <c:pt idx="0">
                  <c:v>510</c:v>
                </c:pt>
                <c:pt idx="1">
                  <c:v>518</c:v>
                </c:pt>
                <c:pt idx="2">
                  <c:v>383</c:v>
                </c:pt>
                <c:pt idx="3">
                  <c:v>335</c:v>
                </c:pt>
                <c:pt idx="4">
                  <c:v>303</c:v>
                </c:pt>
                <c:pt idx="5">
                  <c:v>450</c:v>
                </c:pt>
                <c:pt idx="6">
                  <c:v>659</c:v>
                </c:pt>
                <c:pt idx="7">
                  <c:v>1058</c:v>
                </c:pt>
                <c:pt idx="8">
                  <c:v>454</c:v>
                </c:pt>
                <c:pt idx="9">
                  <c:v>915</c:v>
                </c:pt>
                <c:pt idx="10">
                  <c:v>749</c:v>
                </c:pt>
                <c:pt idx="11">
                  <c:v>872</c:v>
                </c:pt>
              </c:numCache>
            </c:numRef>
          </c:val>
          <c:extLst>
            <c:ext xmlns:c16="http://schemas.microsoft.com/office/drawing/2014/chart" uri="{C3380CC4-5D6E-409C-BE32-E72D297353CC}">
              <c16:uniqueId val="{00000000-6C4D-4988-AA34-10662EC4476F}"/>
            </c:ext>
          </c:extLst>
        </c:ser>
        <c:dLbls>
          <c:showLegendKey val="0"/>
          <c:showVal val="0"/>
          <c:showCatName val="0"/>
          <c:showSerName val="0"/>
          <c:showPercent val="0"/>
          <c:showBubbleSize val="0"/>
        </c:dLbls>
        <c:gapWidth val="219"/>
        <c:axId val="1935686495"/>
        <c:axId val="1935682655"/>
      </c:barChart>
      <c:lineChart>
        <c:grouping val="standard"/>
        <c:varyColors val="0"/>
        <c:ser>
          <c:idx val="1"/>
          <c:order val="1"/>
          <c:tx>
            <c:v>Cumulative</c:v>
          </c:tx>
          <c:spPr>
            <a:ln w="28575" cap="rnd">
              <a:solidFill>
                <a:srgbClr val="EF2B5E"/>
              </a:solidFill>
              <a:round/>
            </a:ln>
            <a:effectLst/>
          </c:spPr>
          <c:marker>
            <c:symbol val="none"/>
          </c:marker>
          <c:val>
            <c:numRef>
              <c:f>('Website metrics 25_26'!$C$6,'Website metrics 25_26'!$F$6,'Website metrics 25_26'!$I$6,'Website metrics 25_26'!$L$6,'Website metrics 25_26'!$O$6,'Website metrics 25_26'!$R$6,'Website metrics 25_26'!$W$6,'Website metrics 25_26'!$Z$6,'Website metrics 25_26'!$AC$6,'Website metrics 25_26'!$AH$6,'Website metrics 25_26'!$AK$6,'Website metrics 25_26'!$AN$6)</c:f>
              <c:numCache>
                <c:formatCode>0</c:formatCode>
                <c:ptCount val="12"/>
                <c:pt idx="0">
                  <c:v>510</c:v>
                </c:pt>
                <c:pt idx="1">
                  <c:v>1028</c:v>
                </c:pt>
                <c:pt idx="2" formatCode="General">
                  <c:v>1411</c:v>
                </c:pt>
                <c:pt idx="3">
                  <c:v>1746</c:v>
                </c:pt>
                <c:pt idx="4">
                  <c:v>2049</c:v>
                </c:pt>
                <c:pt idx="5">
                  <c:v>2499</c:v>
                </c:pt>
                <c:pt idx="6">
                  <c:v>3158</c:v>
                </c:pt>
                <c:pt idx="7">
                  <c:v>4216</c:v>
                </c:pt>
                <c:pt idx="8">
                  <c:v>4670</c:v>
                </c:pt>
                <c:pt idx="9">
                  <c:v>5585</c:v>
                </c:pt>
                <c:pt idx="10">
                  <c:v>6334</c:v>
                </c:pt>
                <c:pt idx="11">
                  <c:v>7206</c:v>
                </c:pt>
              </c:numCache>
            </c:numRef>
          </c:val>
          <c:smooth val="0"/>
          <c:extLst>
            <c:ext xmlns:c16="http://schemas.microsoft.com/office/drawing/2014/chart" uri="{C3380CC4-5D6E-409C-BE32-E72D297353CC}">
              <c16:uniqueId val="{00000001-6C4D-4988-AA34-10662EC4476F}"/>
            </c:ext>
          </c:extLst>
        </c:ser>
        <c:dLbls>
          <c:showLegendKey val="0"/>
          <c:showVal val="0"/>
          <c:showCatName val="0"/>
          <c:showSerName val="0"/>
          <c:showPercent val="0"/>
          <c:showBubbleSize val="0"/>
        </c:dLbls>
        <c:marker val="1"/>
        <c:smooth val="0"/>
        <c:axId val="1927829775"/>
        <c:axId val="1927829295"/>
      </c:lineChart>
      <c:dateAx>
        <c:axId val="1935686495"/>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Month</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82655"/>
        <c:crosses val="autoZero"/>
        <c:auto val="1"/>
        <c:lblOffset val="100"/>
        <c:baseTimeUnit val="months"/>
      </c:dateAx>
      <c:valAx>
        <c:axId val="1935682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Monlthy session count</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686495"/>
        <c:crosses val="autoZero"/>
        <c:crossBetween val="between"/>
      </c:valAx>
      <c:valAx>
        <c:axId val="19278292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2000"/>
                  <a:t>Cumulative session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829775"/>
        <c:crosses val="max"/>
        <c:crossBetween val="between"/>
      </c:valAx>
      <c:catAx>
        <c:axId val="1927829775"/>
        <c:scaling>
          <c:orientation val="minMax"/>
        </c:scaling>
        <c:delete val="1"/>
        <c:axPos val="t"/>
        <c:majorTickMark val="out"/>
        <c:minorTickMark val="none"/>
        <c:tickLblPos val="nextTo"/>
        <c:crossAx val="1927829295"/>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1437687215376"/>
          <c:y val="0.10984415742649542"/>
          <c:w val="0.74532470402392126"/>
          <c:h val="0.62653738574665818"/>
        </c:manualLayout>
      </c:layout>
      <c:barChart>
        <c:barDir val="col"/>
        <c:grouping val="clustered"/>
        <c:varyColors val="0"/>
        <c:ser>
          <c:idx val="0"/>
          <c:order val="0"/>
          <c:tx>
            <c:v>Registered accounts</c:v>
          </c:tx>
          <c:spPr>
            <a:solidFill>
              <a:srgbClr val="04075B"/>
            </a:solidFill>
            <a:ln>
              <a:solidFill>
                <a:srgbClr val="04075B"/>
              </a:solidFill>
            </a:ln>
            <a:effectLst/>
          </c:spPr>
          <c:invertIfNegative val="0"/>
          <c:cat>
            <c:strRef>
              <c:f>'Graphs 25_26'!$S$59:$S$63</c:f>
              <c:strCache>
                <c:ptCount val="5"/>
                <c:pt idx="0">
                  <c:v>November</c:v>
                </c:pt>
                <c:pt idx="1">
                  <c:v>December</c:v>
                </c:pt>
                <c:pt idx="2">
                  <c:v>January</c:v>
                </c:pt>
                <c:pt idx="3">
                  <c:v>February</c:v>
                </c:pt>
                <c:pt idx="4">
                  <c:v>March</c:v>
                </c:pt>
              </c:strCache>
            </c:strRef>
          </c:cat>
          <c:val>
            <c:numRef>
              <c:f>'Graphs 25_26'!$T$59:$T$63</c:f>
              <c:numCache>
                <c:formatCode>General</c:formatCode>
                <c:ptCount val="5"/>
                <c:pt idx="0">
                  <c:v>30</c:v>
                </c:pt>
                <c:pt idx="1">
                  <c:v>30</c:v>
                </c:pt>
                <c:pt idx="2">
                  <c:v>30</c:v>
                </c:pt>
                <c:pt idx="3">
                  <c:v>30</c:v>
                </c:pt>
                <c:pt idx="4">
                  <c:v>30</c:v>
                </c:pt>
              </c:numCache>
            </c:numRef>
          </c:val>
          <c:extLst>
            <c:ext xmlns:c16="http://schemas.microsoft.com/office/drawing/2014/chart" uri="{C3380CC4-5D6E-409C-BE32-E72D297353CC}">
              <c16:uniqueId val="{00000000-4F45-4EC9-B3F2-E7E2563D5A44}"/>
            </c:ext>
          </c:extLst>
        </c:ser>
        <c:dLbls>
          <c:showLegendKey val="0"/>
          <c:showVal val="0"/>
          <c:showCatName val="0"/>
          <c:showSerName val="0"/>
          <c:showPercent val="0"/>
          <c:showBubbleSize val="0"/>
        </c:dLbls>
        <c:gapWidth val="219"/>
        <c:axId val="827365680"/>
        <c:axId val="827382000"/>
      </c:barChart>
      <c:lineChart>
        <c:grouping val="standard"/>
        <c:varyColors val="0"/>
        <c:ser>
          <c:idx val="1"/>
          <c:order val="1"/>
          <c:tx>
            <c:v>Cumulative accounts</c:v>
          </c:tx>
          <c:spPr>
            <a:ln w="28575" cap="rnd">
              <a:solidFill>
                <a:srgbClr val="EF2B5E"/>
              </a:solidFill>
              <a:round/>
            </a:ln>
            <a:effectLst/>
          </c:spPr>
          <c:marker>
            <c:symbol val="none"/>
          </c:marker>
          <c:val>
            <c:numRef>
              <c:f>'Graphs 25_26'!$U$59:$U$63</c:f>
              <c:numCache>
                <c:formatCode>General</c:formatCode>
                <c:ptCount val="5"/>
                <c:pt idx="0">
                  <c:v>30</c:v>
                </c:pt>
                <c:pt idx="1">
                  <c:v>60</c:v>
                </c:pt>
                <c:pt idx="2">
                  <c:v>90</c:v>
                </c:pt>
                <c:pt idx="3">
                  <c:v>120</c:v>
                </c:pt>
                <c:pt idx="4">
                  <c:v>150</c:v>
                </c:pt>
              </c:numCache>
            </c:numRef>
          </c:val>
          <c:smooth val="0"/>
          <c:extLst>
            <c:ext xmlns:c16="http://schemas.microsoft.com/office/drawing/2014/chart" uri="{C3380CC4-5D6E-409C-BE32-E72D297353CC}">
              <c16:uniqueId val="{00000001-4F45-4EC9-B3F2-E7E2563D5A44}"/>
            </c:ext>
          </c:extLst>
        </c:ser>
        <c:dLbls>
          <c:showLegendKey val="0"/>
          <c:showVal val="0"/>
          <c:showCatName val="0"/>
          <c:showSerName val="0"/>
          <c:showPercent val="0"/>
          <c:showBubbleSize val="0"/>
        </c:dLbls>
        <c:marker val="1"/>
        <c:smooth val="0"/>
        <c:axId val="827616240"/>
        <c:axId val="827613360"/>
      </c:lineChart>
      <c:catAx>
        <c:axId val="827365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82000"/>
        <c:crosses val="autoZero"/>
        <c:auto val="1"/>
        <c:lblAlgn val="ctr"/>
        <c:lblOffset val="100"/>
        <c:noMultiLvlLbl val="0"/>
      </c:catAx>
      <c:valAx>
        <c:axId val="827382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New accounts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365680"/>
        <c:crosses val="autoZero"/>
        <c:crossBetween val="between"/>
      </c:valAx>
      <c:valAx>
        <c:axId val="82761336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Cumulative</a:t>
                </a:r>
                <a:r>
                  <a:rPr lang="en-GB" baseline="0"/>
                  <a:t>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616240"/>
        <c:crosses val="max"/>
        <c:crossBetween val="between"/>
      </c:valAx>
      <c:catAx>
        <c:axId val="827616240"/>
        <c:scaling>
          <c:orientation val="minMax"/>
        </c:scaling>
        <c:delete val="1"/>
        <c:axPos val="b"/>
        <c:majorTickMark val="out"/>
        <c:minorTickMark val="none"/>
        <c:tickLblPos val="nextTo"/>
        <c:crossAx val="8276133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05473254616337"/>
          <c:y val="7.3746463824609795E-2"/>
          <c:w val="0.85939182027499805"/>
          <c:h val="0.66469918342613976"/>
        </c:manualLayout>
      </c:layout>
      <c:barChart>
        <c:barDir val="col"/>
        <c:grouping val="clustered"/>
        <c:varyColors val="0"/>
        <c:ser>
          <c:idx val="0"/>
          <c:order val="0"/>
          <c:tx>
            <c:strRef>
              <c:f>'Graphs 25_26'!$T$74</c:f>
              <c:strCache>
                <c:ptCount val="1"/>
                <c:pt idx="0">
                  <c:v>Registered accounts</c:v>
                </c:pt>
              </c:strCache>
            </c:strRef>
          </c:tx>
          <c:spPr>
            <a:solidFill>
              <a:srgbClr val="04075B"/>
            </a:solidFill>
            <a:ln>
              <a:solidFill>
                <a:srgbClr val="04075B"/>
              </a:solidFill>
            </a:ln>
            <a:effectLst/>
          </c:spPr>
          <c:invertIfNegative val="0"/>
          <c:dLbls>
            <c:dLbl>
              <c:idx val="0"/>
              <c:tx>
                <c:rich>
                  <a:bodyPr/>
                  <a:lstStyle/>
                  <a:p>
                    <a:fld id="{86C9DF24-EFD7-4C43-806F-33BED3A62C51}"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E92-4679-8E0F-AC1CF90272FD}"/>
                </c:ext>
              </c:extLst>
            </c:dLbl>
            <c:dLbl>
              <c:idx val="1"/>
              <c:tx>
                <c:rich>
                  <a:bodyPr/>
                  <a:lstStyle/>
                  <a:p>
                    <a:fld id="{D51ED3D2-3140-428B-9E5D-6E03C12ACB1E}"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E92-4679-8E0F-AC1CF90272FD}"/>
                </c:ext>
              </c:extLst>
            </c:dLbl>
            <c:dLbl>
              <c:idx val="2"/>
              <c:tx>
                <c:rich>
                  <a:bodyPr/>
                  <a:lstStyle/>
                  <a:p>
                    <a:fld id="{82F936B3-2A5C-4EF6-B2A0-58F754F2C778}"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E92-4679-8E0F-AC1CF90272FD}"/>
                </c:ext>
              </c:extLst>
            </c:dLbl>
            <c:dLbl>
              <c:idx val="3"/>
              <c:tx>
                <c:rich>
                  <a:bodyPr/>
                  <a:lstStyle/>
                  <a:p>
                    <a:fld id="{558B6902-4302-49A5-9A6D-10C4B814F50B}"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E92-4679-8E0F-AC1CF90272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'Graphs 25_26'!$S$75:$S$78</c:f>
              <c:strCache>
                <c:ptCount val="4"/>
                <c:pt idx="0">
                  <c:v>Public Sector (local or central government financed organisation)</c:v>
                </c:pt>
                <c:pt idx="1">
                  <c:v>Private Sector</c:v>
                </c:pt>
                <c:pt idx="2">
                  <c:v>Charity or voluntary sector (including social enterprises)</c:v>
                </c:pt>
                <c:pt idx="3">
                  <c:v>other_options</c:v>
                </c:pt>
              </c:strCache>
            </c:strRef>
          </c:cat>
          <c:val>
            <c:numRef>
              <c:f>'Graphs 25_26'!$T$75:$T$78</c:f>
              <c:numCache>
                <c:formatCode>General</c:formatCode>
                <c:ptCount val="4"/>
                <c:pt idx="0">
                  <c:v>30</c:v>
                </c:pt>
                <c:pt idx="1">
                  <c:v>30</c:v>
                </c:pt>
                <c:pt idx="2">
                  <c:v>30</c:v>
                </c:pt>
                <c:pt idx="3">
                  <c:v>30</c:v>
                </c:pt>
              </c:numCache>
            </c:numRef>
          </c:val>
          <c:extLst>
            <c:ext xmlns:c15="http://schemas.microsoft.com/office/drawing/2012/chart" uri="{02D57815-91ED-43cb-92C2-25804820EDAC}">
              <c15:datalabelsRange>
                <c15:f>'Graphs 25_26'!$U$75:$U$78</c15:f>
                <c15:dlblRangeCache>
                  <c:ptCount val="4"/>
                  <c:pt idx="0">
                    <c:v>40%</c:v>
                  </c:pt>
                  <c:pt idx="1">
                    <c:v>25%</c:v>
                  </c:pt>
                  <c:pt idx="2">
                    <c:v>25%</c:v>
                  </c:pt>
                  <c:pt idx="3">
                    <c:v>25%</c:v>
                  </c:pt>
                </c15:dlblRangeCache>
              </c15:datalabelsRange>
            </c:ext>
            <c:ext xmlns:c16="http://schemas.microsoft.com/office/drawing/2014/chart" uri="{C3380CC4-5D6E-409C-BE32-E72D297353CC}">
              <c16:uniqueId val="{00000004-1E92-4679-8E0F-AC1CF90272FD}"/>
            </c:ext>
          </c:extLst>
        </c:ser>
        <c:dLbls>
          <c:dLblPos val="outEnd"/>
          <c:showLegendKey val="0"/>
          <c:showVal val="1"/>
          <c:showCatName val="0"/>
          <c:showSerName val="0"/>
          <c:showPercent val="0"/>
          <c:showBubbleSize val="0"/>
        </c:dLbls>
        <c:gapWidth val="219"/>
        <c:overlap val="-27"/>
        <c:axId val="826947104"/>
        <c:axId val="826947584"/>
      </c:barChart>
      <c:catAx>
        <c:axId val="826947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Sector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947584"/>
        <c:crosses val="autoZero"/>
        <c:auto val="1"/>
        <c:lblAlgn val="ctr"/>
        <c:lblOffset val="100"/>
        <c:noMultiLvlLbl val="0"/>
      </c:catAx>
      <c:valAx>
        <c:axId val="826947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Registered accounts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947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25_26'!$T$92</c:f>
              <c:strCache>
                <c:ptCount val="1"/>
                <c:pt idx="0">
                  <c:v>Registered accounts</c:v>
                </c:pt>
              </c:strCache>
            </c:strRef>
          </c:tx>
          <c:spPr>
            <a:solidFill>
              <a:srgbClr val="04075B"/>
            </a:solidFill>
            <a:ln>
              <a:solidFill>
                <a:srgbClr val="04075B"/>
              </a:solidFill>
            </a:ln>
            <a:effectLst/>
          </c:spPr>
          <c:invertIfNegative val="0"/>
          <c:dLbls>
            <c:dLbl>
              <c:idx val="0"/>
              <c:tx>
                <c:rich>
                  <a:bodyPr/>
                  <a:lstStyle/>
                  <a:p>
                    <a:fld id="{9DDCA15A-A3DA-42D2-9CA3-599186C95A07}"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DC2-4C74-BD45-74CC7CC5CBC9}"/>
                </c:ext>
              </c:extLst>
            </c:dLbl>
            <c:dLbl>
              <c:idx val="1"/>
              <c:tx>
                <c:rich>
                  <a:bodyPr/>
                  <a:lstStyle/>
                  <a:p>
                    <a:fld id="{DC0A3D89-9C2D-4EB2-9382-CEC5CD1A5599}"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DC2-4C74-BD45-74CC7CC5CBC9}"/>
                </c:ext>
              </c:extLst>
            </c:dLbl>
            <c:dLbl>
              <c:idx val="2"/>
              <c:tx>
                <c:rich>
                  <a:bodyPr/>
                  <a:lstStyle/>
                  <a:p>
                    <a:fld id="{44C40363-90B0-45EF-A59E-7D8D77E2909F}"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DC2-4C74-BD45-74CC7CC5CBC9}"/>
                </c:ext>
              </c:extLst>
            </c:dLbl>
            <c:dLbl>
              <c:idx val="3"/>
              <c:tx>
                <c:rich>
                  <a:bodyPr/>
                  <a:lstStyle/>
                  <a:p>
                    <a:fld id="{EC1527B1-C236-4FBE-B0C2-538B4BC9005A}"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DC2-4C74-BD45-74CC7CC5CBC9}"/>
                </c:ext>
              </c:extLst>
            </c:dLbl>
            <c:dLbl>
              <c:idx val="4"/>
              <c:tx>
                <c:rich>
                  <a:bodyPr/>
                  <a:lstStyle/>
                  <a:p>
                    <a:fld id="{522BA130-A310-4633-9BD0-1E881A76286A}"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DC2-4C74-BD45-74CC7CC5CBC9}"/>
                </c:ext>
              </c:extLst>
            </c:dLbl>
            <c:dLbl>
              <c:idx val="5"/>
              <c:tx>
                <c:rich>
                  <a:bodyPr/>
                  <a:lstStyle/>
                  <a:p>
                    <a:fld id="{D8A777C4-EBC9-454A-B6A1-9C7043F892DA}"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DC2-4C74-BD45-74CC7CC5CBC9}"/>
                </c:ext>
              </c:extLst>
            </c:dLbl>
            <c:dLbl>
              <c:idx val="6"/>
              <c:tx>
                <c:rich>
                  <a:bodyPr/>
                  <a:lstStyle/>
                  <a:p>
                    <a:fld id="{EB3004AB-02A2-4532-8F90-3F76C22526F0}"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DC2-4C74-BD45-74CC7CC5CBC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'Graphs 25_26'!$S$93:$S$99</c:f>
              <c:strCache>
                <c:ptCount val="7"/>
                <c:pt idx="0">
                  <c:v>1000+</c:v>
                </c:pt>
                <c:pt idx="1">
                  <c:v>250 - 999</c:v>
                </c:pt>
                <c:pt idx="2">
                  <c:v>100 - 249</c:v>
                </c:pt>
                <c:pt idx="3">
                  <c:v>50 - 99</c:v>
                </c:pt>
                <c:pt idx="4">
                  <c:v>20 - 49</c:v>
                </c:pt>
                <c:pt idx="5">
                  <c:v>10 - 19</c:v>
                </c:pt>
                <c:pt idx="6">
                  <c:v>1 - 10</c:v>
                </c:pt>
              </c:strCache>
            </c:strRef>
          </c:cat>
          <c:val>
            <c:numRef>
              <c:f>'Graphs 25_26'!$T$93:$T$99</c:f>
              <c:numCache>
                <c:formatCode>General</c:formatCode>
                <c:ptCount val="7"/>
                <c:pt idx="0">
                  <c:v>20</c:v>
                </c:pt>
                <c:pt idx="1">
                  <c:v>20</c:v>
                </c:pt>
                <c:pt idx="2">
                  <c:v>20</c:v>
                </c:pt>
                <c:pt idx="3">
                  <c:v>20</c:v>
                </c:pt>
                <c:pt idx="4">
                  <c:v>20</c:v>
                </c:pt>
                <c:pt idx="5">
                  <c:v>20</c:v>
                </c:pt>
                <c:pt idx="6">
                  <c:v>20</c:v>
                </c:pt>
              </c:numCache>
            </c:numRef>
          </c:val>
          <c:extLst>
            <c:ext xmlns:c15="http://schemas.microsoft.com/office/drawing/2012/chart" uri="{02D57815-91ED-43cb-92C2-25804820EDAC}">
              <c15:datalabelsRange>
                <c15:f>'Graphs 25_26'!$U$93:$U$99</c15:f>
                <c15:dlblRangeCache>
                  <c:ptCount val="7"/>
                  <c:pt idx="0">
                    <c:v>14%</c:v>
                  </c:pt>
                  <c:pt idx="1">
                    <c:v>14%</c:v>
                  </c:pt>
                  <c:pt idx="2">
                    <c:v>14%</c:v>
                  </c:pt>
                  <c:pt idx="3">
                    <c:v>14%</c:v>
                  </c:pt>
                  <c:pt idx="4">
                    <c:v>14%</c:v>
                  </c:pt>
                  <c:pt idx="5">
                    <c:v>14%</c:v>
                  </c:pt>
                  <c:pt idx="6">
                    <c:v>14%</c:v>
                  </c:pt>
                </c15:dlblRangeCache>
              </c15:datalabelsRange>
            </c:ext>
            <c:ext xmlns:c16="http://schemas.microsoft.com/office/drawing/2014/chart" uri="{C3380CC4-5D6E-409C-BE32-E72D297353CC}">
              <c16:uniqueId val="{00000007-3DC2-4C74-BD45-74CC7CC5CBC9}"/>
            </c:ext>
          </c:extLst>
        </c:ser>
        <c:dLbls>
          <c:dLblPos val="outEnd"/>
          <c:showLegendKey val="0"/>
          <c:showVal val="1"/>
          <c:showCatName val="0"/>
          <c:showSerName val="0"/>
          <c:showPercent val="0"/>
          <c:showBubbleSize val="0"/>
        </c:dLbls>
        <c:gapWidth val="219"/>
        <c:overlap val="-27"/>
        <c:axId val="836973392"/>
        <c:axId val="836970992"/>
      </c:barChart>
      <c:catAx>
        <c:axId val="836973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employees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70992"/>
        <c:crosses val="autoZero"/>
        <c:auto val="1"/>
        <c:lblAlgn val="ctr"/>
        <c:lblOffset val="100"/>
        <c:noMultiLvlLbl val="0"/>
      </c:catAx>
      <c:valAx>
        <c:axId val="83697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Registered</a:t>
                </a:r>
                <a:r>
                  <a:rPr lang="en-GB" baseline="0"/>
                  <a:t> accounts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73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37237056483975"/>
          <c:y val="6.1852798207110843E-2"/>
          <c:w val="0.78289107230964539"/>
          <c:h val="0.69865467233830625"/>
        </c:manualLayout>
      </c:layout>
      <c:barChart>
        <c:barDir val="col"/>
        <c:grouping val="clustered"/>
        <c:varyColors val="0"/>
        <c:ser>
          <c:idx val="0"/>
          <c:order val="0"/>
          <c:tx>
            <c:strRef>
              <c:f>'Social media metrics 25_26'!$V$1</c:f>
              <c:strCache>
                <c:ptCount val="1"/>
                <c:pt idx="0">
                  <c:v>New followers</c:v>
                </c:pt>
              </c:strCache>
            </c:strRef>
          </c:tx>
          <c:spPr>
            <a:solidFill>
              <a:srgbClr val="04075B"/>
            </a:solidFill>
            <a:ln>
              <a:noFill/>
            </a:ln>
            <a:effectLst/>
          </c:spPr>
          <c:invertIfNegative val="0"/>
          <c:cat>
            <c:multiLvlStrRef>
              <c:f>'Social media metrics 25_26'!$T$2:$U$5</c:f>
              <c:multiLvlStrCache>
                <c:ptCount val="4"/>
                <c:lvl>
                  <c:pt idx="0">
                    <c:v>Q1</c:v>
                  </c:pt>
                  <c:pt idx="1">
                    <c:v>Q2</c:v>
                  </c:pt>
                  <c:pt idx="2">
                    <c:v>Q3</c:v>
                  </c:pt>
                  <c:pt idx="3">
                    <c:v>Q4</c:v>
                  </c:pt>
                </c:lvl>
                <c:lvl>
                  <c:pt idx="0">
                    <c:v>2025-26</c:v>
                  </c:pt>
                </c:lvl>
              </c:multiLvlStrCache>
            </c:multiLvlStrRef>
          </c:cat>
          <c:val>
            <c:numRef>
              <c:f>'Social media metrics 25_26'!$V$2:$V$5</c:f>
              <c:numCache>
                <c:formatCode>General</c:formatCode>
                <c:ptCount val="4"/>
                <c:pt idx="0">
                  <c:v>15</c:v>
                </c:pt>
                <c:pt idx="1">
                  <c:v>20</c:v>
                </c:pt>
                <c:pt idx="2">
                  <c:v>70</c:v>
                </c:pt>
                <c:pt idx="3">
                  <c:v>210</c:v>
                </c:pt>
              </c:numCache>
            </c:numRef>
          </c:val>
          <c:extLst>
            <c:ext xmlns:c16="http://schemas.microsoft.com/office/drawing/2014/chart" uri="{C3380CC4-5D6E-409C-BE32-E72D297353CC}">
              <c16:uniqueId val="{00000000-01B5-4D7D-A2D6-F53D458C6153}"/>
            </c:ext>
          </c:extLst>
        </c:ser>
        <c:dLbls>
          <c:showLegendKey val="0"/>
          <c:showVal val="0"/>
          <c:showCatName val="0"/>
          <c:showSerName val="0"/>
          <c:showPercent val="0"/>
          <c:showBubbleSize val="0"/>
        </c:dLbls>
        <c:gapWidth val="219"/>
        <c:axId val="1588210096"/>
        <c:axId val="1588208176"/>
      </c:barChart>
      <c:lineChart>
        <c:grouping val="standard"/>
        <c:varyColors val="0"/>
        <c:ser>
          <c:idx val="1"/>
          <c:order val="1"/>
          <c:tx>
            <c:v>Cumulative followers</c:v>
          </c:tx>
          <c:spPr>
            <a:ln w="28575" cap="rnd">
              <a:solidFill>
                <a:srgbClr val="EF2B5E"/>
              </a:solidFill>
              <a:round/>
            </a:ln>
            <a:effectLst/>
          </c:spPr>
          <c:marker>
            <c:symbol val="none"/>
          </c:marker>
          <c:dPt>
            <c:idx val="2"/>
            <c:marker>
              <c:symbol val="none"/>
            </c:marker>
            <c:bubble3D val="0"/>
            <c:extLst>
              <c:ext xmlns:c16="http://schemas.microsoft.com/office/drawing/2014/chart" uri="{C3380CC4-5D6E-409C-BE32-E72D297353CC}">
                <c16:uniqueId val="{00000001-01B5-4D7D-A2D6-F53D458C6153}"/>
              </c:ext>
            </c:extLst>
          </c:dPt>
          <c:val>
            <c:numRef>
              <c:f>('Social media metrics 25_26'!$F$6,'Social media metrics 25_26'!$J$6,'Social media metrics 25_26'!$N$6,'Social media metrics 25_26'!$R$6)</c:f>
              <c:numCache>
                <c:formatCode>General</c:formatCode>
                <c:ptCount val="4"/>
                <c:pt idx="0">
                  <c:v>4000</c:v>
                </c:pt>
                <c:pt idx="1">
                  <c:v>4000</c:v>
                </c:pt>
                <c:pt idx="2">
                  <c:v>4000</c:v>
                </c:pt>
                <c:pt idx="3">
                  <c:v>4000</c:v>
                </c:pt>
              </c:numCache>
            </c:numRef>
          </c:val>
          <c:smooth val="0"/>
          <c:extLst>
            <c:ext xmlns:c16="http://schemas.microsoft.com/office/drawing/2014/chart" uri="{C3380CC4-5D6E-409C-BE32-E72D297353CC}">
              <c16:uniqueId val="{00000002-01B5-4D7D-A2D6-F53D458C6153}"/>
            </c:ext>
          </c:extLst>
        </c:ser>
        <c:dLbls>
          <c:showLegendKey val="0"/>
          <c:showVal val="0"/>
          <c:showCatName val="0"/>
          <c:showSerName val="0"/>
          <c:showPercent val="0"/>
          <c:showBubbleSize val="0"/>
        </c:dLbls>
        <c:marker val="1"/>
        <c:smooth val="0"/>
        <c:axId val="1457854960"/>
        <c:axId val="1457854480"/>
      </c:lineChart>
      <c:catAx>
        <c:axId val="1588210096"/>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Financial year</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88208176"/>
        <c:crosses val="autoZero"/>
        <c:auto val="1"/>
        <c:lblAlgn val="ctr"/>
        <c:lblOffset val="100"/>
        <c:noMultiLvlLbl val="0"/>
      </c:catAx>
      <c:valAx>
        <c:axId val="1588208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Number of new followers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88210096"/>
        <c:crosses val="autoZero"/>
        <c:crossBetween val="between"/>
      </c:valAx>
      <c:valAx>
        <c:axId val="1457854480"/>
        <c:scaling>
          <c:orientation val="minMax"/>
        </c:scaling>
        <c:delete val="0"/>
        <c:axPos val="r"/>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GB" sz="2000"/>
                  <a:t>Cumulative followers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57854960"/>
        <c:crosses val="max"/>
        <c:crossBetween val="between"/>
        <c:majorUnit val="50"/>
      </c:valAx>
      <c:catAx>
        <c:axId val="1457854960"/>
        <c:scaling>
          <c:orientation val="minMax"/>
        </c:scaling>
        <c:delete val="1"/>
        <c:axPos val="b"/>
        <c:majorTickMark val="out"/>
        <c:minorTickMark val="none"/>
        <c:tickLblPos val="nextTo"/>
        <c:crossAx val="1457854480"/>
        <c:crosses val="autoZero"/>
        <c:auto val="1"/>
        <c:lblAlgn val="ctr"/>
        <c:lblOffset val="100"/>
        <c:noMultiLvlLbl val="0"/>
      </c:catAx>
      <c:spPr>
        <a:noFill/>
        <a:ln>
          <a:noFill/>
        </a:ln>
        <a:effectLst/>
      </c:spPr>
    </c:plotArea>
    <c:legend>
      <c:legendPos val="b"/>
      <c:layout>
        <c:manualLayout>
          <c:xMode val="edge"/>
          <c:yMode val="edge"/>
          <c:x val="0.34433677880660274"/>
          <c:y val="0.94007669998772325"/>
          <c:w val="0.33678859924062893"/>
          <c:h val="5.7714866030438773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36003069221915"/>
          <c:y val="8.8053217885780993E-2"/>
          <c:w val="0.79056068107495847"/>
          <c:h val="0.71309904282569936"/>
        </c:manualLayout>
      </c:layout>
      <c:barChart>
        <c:barDir val="col"/>
        <c:grouping val="clustered"/>
        <c:varyColors val="0"/>
        <c:ser>
          <c:idx val="0"/>
          <c:order val="0"/>
          <c:tx>
            <c:strRef>
              <c:f>'Graphs 25_26'!$W$64</c:f>
              <c:strCache>
                <c:ptCount val="1"/>
                <c:pt idx="0">
                  <c:v>Survey completions</c:v>
                </c:pt>
              </c:strCache>
            </c:strRef>
          </c:tx>
          <c:spPr>
            <a:solidFill>
              <a:srgbClr val="04075B"/>
            </a:solidFill>
            <a:ln>
              <a:solidFill>
                <a:srgbClr val="04075B"/>
              </a:solidFill>
            </a:ln>
            <a:effectLst/>
          </c:spPr>
          <c:invertIfNegative val="0"/>
          <c:cat>
            <c:strRef>
              <c:f>'Graphs 25_26'!$S$65:$S$66</c:f>
              <c:strCache>
                <c:ptCount val="2"/>
                <c:pt idx="0">
                  <c:v>Q3</c:v>
                </c:pt>
                <c:pt idx="1">
                  <c:v>Q4</c:v>
                </c:pt>
              </c:strCache>
            </c:strRef>
          </c:cat>
          <c:val>
            <c:numRef>
              <c:f>'Graphs 25_26'!$W$65:$W$66</c:f>
              <c:numCache>
                <c:formatCode>General</c:formatCode>
                <c:ptCount val="2"/>
                <c:pt idx="0">
                  <c:v>40</c:v>
                </c:pt>
                <c:pt idx="1">
                  <c:v>60</c:v>
                </c:pt>
              </c:numCache>
            </c:numRef>
          </c:val>
          <c:extLst>
            <c:ext xmlns:c16="http://schemas.microsoft.com/office/drawing/2014/chart" uri="{C3380CC4-5D6E-409C-BE32-E72D297353CC}">
              <c16:uniqueId val="{00000000-571A-4C2C-A1B4-7D41FB8C753D}"/>
            </c:ext>
          </c:extLst>
        </c:ser>
        <c:dLbls>
          <c:showLegendKey val="0"/>
          <c:showVal val="0"/>
          <c:showCatName val="0"/>
          <c:showSerName val="0"/>
          <c:showPercent val="0"/>
          <c:showBubbleSize val="0"/>
        </c:dLbls>
        <c:gapWidth val="219"/>
        <c:axId val="1359290463"/>
        <c:axId val="1359293343"/>
      </c:barChart>
      <c:lineChart>
        <c:grouping val="standard"/>
        <c:varyColors val="0"/>
        <c:ser>
          <c:idx val="1"/>
          <c:order val="1"/>
          <c:tx>
            <c:v>Cumulative</c:v>
          </c:tx>
          <c:spPr>
            <a:ln w="28575" cap="rnd">
              <a:solidFill>
                <a:srgbClr val="EF2B5E"/>
              </a:solidFill>
              <a:round/>
            </a:ln>
            <a:effectLst/>
          </c:spPr>
          <c:marker>
            <c:symbol val="none"/>
          </c:marker>
          <c:val>
            <c:numRef>
              <c:f>'Graphs 25_26'!$X$65:$X$66</c:f>
              <c:numCache>
                <c:formatCode>General</c:formatCode>
                <c:ptCount val="2"/>
                <c:pt idx="0">
                  <c:v>40</c:v>
                </c:pt>
                <c:pt idx="1">
                  <c:v>100</c:v>
                </c:pt>
              </c:numCache>
            </c:numRef>
          </c:val>
          <c:smooth val="0"/>
          <c:extLst>
            <c:ext xmlns:c16="http://schemas.microsoft.com/office/drawing/2014/chart" uri="{C3380CC4-5D6E-409C-BE32-E72D297353CC}">
              <c16:uniqueId val="{00000001-571A-4C2C-A1B4-7D41FB8C753D}"/>
            </c:ext>
          </c:extLst>
        </c:ser>
        <c:dLbls>
          <c:showLegendKey val="0"/>
          <c:showVal val="0"/>
          <c:showCatName val="0"/>
          <c:showSerName val="0"/>
          <c:showPercent val="0"/>
          <c:showBubbleSize val="0"/>
        </c:dLbls>
        <c:marker val="1"/>
        <c:smooth val="0"/>
        <c:axId val="1762870303"/>
        <c:axId val="1762859743"/>
      </c:lineChart>
      <c:catAx>
        <c:axId val="135929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2025-26</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293343"/>
        <c:crosses val="autoZero"/>
        <c:auto val="1"/>
        <c:lblAlgn val="ctr"/>
        <c:lblOffset val="100"/>
        <c:noMultiLvlLbl val="0"/>
      </c:catAx>
      <c:valAx>
        <c:axId val="1359293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New</a:t>
                </a:r>
                <a:r>
                  <a:rPr lang="en-GB" baseline="0"/>
                  <a:t> s</a:t>
                </a:r>
                <a:r>
                  <a:rPr lang="en-GB"/>
                  <a:t>urvey completion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290463"/>
        <c:crosses val="autoZero"/>
        <c:crossBetween val="between"/>
      </c:valAx>
      <c:valAx>
        <c:axId val="176285974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Cumulative</a:t>
                </a:r>
                <a:r>
                  <a:rPr lang="en-GB" baseline="0"/>
                  <a:t>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870303"/>
        <c:crosses val="max"/>
        <c:crossBetween val="between"/>
      </c:valAx>
      <c:catAx>
        <c:axId val="1762870303"/>
        <c:scaling>
          <c:orientation val="minMax"/>
        </c:scaling>
        <c:delete val="1"/>
        <c:axPos val="b"/>
        <c:majorTickMark val="out"/>
        <c:minorTickMark val="none"/>
        <c:tickLblPos val="nextTo"/>
        <c:crossAx val="17628597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Healthy Working Wales reporting 2025/26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'HWB Perf Rep'!$C$2</c:f>
              <c:strCache>
                <c:ptCount val="1"/>
                <c:pt idx="0">
                  <c:v>Account sign-ups</c:v>
                </c:pt>
              </c:strCache>
            </c:strRef>
          </c:tx>
          <c:spPr>
            <a:ln w="28575" cap="rnd">
              <a:solidFill>
                <a:srgbClr val="04075B"/>
              </a:solidFill>
              <a:round/>
            </a:ln>
            <a:effectLst/>
          </c:spPr>
          <c:marker>
            <c:symbol val="circle"/>
            <c:size val="5"/>
            <c:spPr>
              <a:solidFill>
                <a:srgbClr val="04075B"/>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'HWB Perf Rep'!$A$3:$B$4</c:f>
              <c:multiLvlStrCache>
                <c:ptCount val="2"/>
                <c:lvl>
                  <c:pt idx="0">
                    <c:v>Q3</c:v>
                  </c:pt>
                  <c:pt idx="1">
                    <c:v>Q4</c:v>
                  </c:pt>
                </c:lvl>
                <c:lvl>
                  <c:pt idx="0">
                    <c:v>2025-26</c:v>
                  </c:pt>
                </c:lvl>
              </c:multiLvlStrCache>
            </c:multiLvlStrRef>
          </c:cat>
          <c:val>
            <c:numRef>
              <c:f>'HWB Perf Rep'!$C$3:$C$4</c:f>
              <c:numCache>
                <c:formatCode>General</c:formatCode>
                <c:ptCount val="2"/>
                <c:pt idx="0">
                  <c:v>40</c:v>
                </c:pt>
                <c:pt idx="1">
                  <c:v>70</c:v>
                </c:pt>
              </c:numCache>
            </c:numRef>
          </c:val>
          <c:smooth val="0"/>
          <c:extLst>
            <c:ext xmlns:c16="http://schemas.microsoft.com/office/drawing/2014/chart" uri="{C3380CC4-5D6E-409C-BE32-E72D297353CC}">
              <c16:uniqueId val="{00000000-70ED-4D3B-86AE-7DE25207DE9E}"/>
            </c:ext>
          </c:extLst>
        </c:ser>
        <c:ser>
          <c:idx val="1"/>
          <c:order val="1"/>
          <c:tx>
            <c:strRef>
              <c:f>'HWB Perf Rep'!$D$2</c:f>
              <c:strCache>
                <c:ptCount val="1"/>
                <c:pt idx="0">
                  <c:v>Survey completions</c:v>
                </c:pt>
              </c:strCache>
            </c:strRef>
          </c:tx>
          <c:spPr>
            <a:ln w="28575" cap="rnd">
              <a:solidFill>
                <a:srgbClr val="EF2B5E"/>
              </a:solidFill>
              <a:round/>
            </a:ln>
            <a:effectLst/>
          </c:spPr>
          <c:marker>
            <c:symbol val="circle"/>
            <c:size val="5"/>
            <c:spPr>
              <a:solidFill>
                <a:srgbClr val="EF2B5E"/>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'HWB Perf Rep'!$A$3:$B$4</c:f>
              <c:multiLvlStrCache>
                <c:ptCount val="2"/>
                <c:lvl>
                  <c:pt idx="0">
                    <c:v>Q3</c:v>
                  </c:pt>
                  <c:pt idx="1">
                    <c:v>Q4</c:v>
                  </c:pt>
                </c:lvl>
                <c:lvl>
                  <c:pt idx="0">
                    <c:v>2025-26</c:v>
                  </c:pt>
                </c:lvl>
              </c:multiLvlStrCache>
            </c:multiLvlStrRef>
          </c:cat>
          <c:val>
            <c:numRef>
              <c:f>'HWB Perf Rep'!$D$3:$D$4</c:f>
              <c:numCache>
                <c:formatCode>General</c:formatCode>
                <c:ptCount val="2"/>
                <c:pt idx="0">
                  <c:v>20</c:v>
                </c:pt>
                <c:pt idx="1">
                  <c:v>40</c:v>
                </c:pt>
              </c:numCache>
            </c:numRef>
          </c:val>
          <c:smooth val="0"/>
          <c:extLst>
            <c:ext xmlns:c16="http://schemas.microsoft.com/office/drawing/2014/chart" uri="{C3380CC4-5D6E-409C-BE32-E72D297353CC}">
              <c16:uniqueId val="{00000001-70ED-4D3B-86AE-7DE25207DE9E}"/>
            </c:ext>
          </c:extLst>
        </c:ser>
        <c:ser>
          <c:idx val="2"/>
          <c:order val="2"/>
          <c:tx>
            <c:strRef>
              <c:f>'HWB Perf Rep'!$E$2</c:f>
              <c:strCache>
                <c:ptCount val="1"/>
                <c:pt idx="0">
                  <c:v>WAS requests</c:v>
                </c:pt>
              </c:strCache>
            </c:strRef>
          </c:tx>
          <c:spPr>
            <a:ln w="28575" cap="rnd">
              <a:solidFill>
                <a:srgbClr val="05C2AB"/>
              </a:solidFill>
              <a:round/>
            </a:ln>
            <a:effectLst/>
          </c:spPr>
          <c:marker>
            <c:symbol val="circle"/>
            <c:size val="5"/>
            <c:spPr>
              <a:solidFill>
                <a:srgbClr val="05C2AB"/>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'HWB Perf Rep'!$A$3:$B$4</c:f>
              <c:multiLvlStrCache>
                <c:ptCount val="2"/>
                <c:lvl>
                  <c:pt idx="0">
                    <c:v>Q3</c:v>
                  </c:pt>
                  <c:pt idx="1">
                    <c:v>Q4</c:v>
                  </c:pt>
                </c:lvl>
                <c:lvl>
                  <c:pt idx="0">
                    <c:v>2025-26</c:v>
                  </c:pt>
                </c:lvl>
              </c:multiLvlStrCache>
            </c:multiLvlStrRef>
          </c:cat>
          <c:val>
            <c:numRef>
              <c:f>'HWB Perf Rep'!$E$3:$E$4</c:f>
              <c:numCache>
                <c:formatCode>General</c:formatCode>
                <c:ptCount val="2"/>
                <c:pt idx="0">
                  <c:v>5</c:v>
                </c:pt>
                <c:pt idx="1">
                  <c:v>15</c:v>
                </c:pt>
              </c:numCache>
            </c:numRef>
          </c:val>
          <c:smooth val="0"/>
          <c:extLst>
            <c:ext xmlns:c16="http://schemas.microsoft.com/office/drawing/2014/chart" uri="{C3380CC4-5D6E-409C-BE32-E72D297353CC}">
              <c16:uniqueId val="{00000002-70ED-4D3B-86AE-7DE25207DE9E}"/>
            </c:ext>
          </c:extLst>
        </c:ser>
        <c:ser>
          <c:idx val="3"/>
          <c:order val="3"/>
          <c:tx>
            <c:strRef>
              <c:f>'HWB Perf Rep'!$F$2</c:f>
              <c:strCache>
                <c:ptCount val="1"/>
                <c:pt idx="0">
                  <c:v>WAS sessions held</c:v>
                </c:pt>
              </c:strCache>
            </c:strRef>
          </c:tx>
          <c:spPr>
            <a:ln w="28575" cap="rnd">
              <a:solidFill>
                <a:srgbClr val="F7CE21"/>
              </a:solidFill>
              <a:round/>
            </a:ln>
            <a:effectLst/>
          </c:spPr>
          <c:marker>
            <c:symbol val="circle"/>
            <c:size val="5"/>
            <c:spPr>
              <a:solidFill>
                <a:srgbClr val="F7CE2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'HWB Perf Rep'!$A$3:$B$4</c:f>
              <c:multiLvlStrCache>
                <c:ptCount val="2"/>
                <c:lvl>
                  <c:pt idx="0">
                    <c:v>Q3</c:v>
                  </c:pt>
                  <c:pt idx="1">
                    <c:v>Q4</c:v>
                  </c:pt>
                </c:lvl>
                <c:lvl>
                  <c:pt idx="0">
                    <c:v>2025-26</c:v>
                  </c:pt>
                </c:lvl>
              </c:multiLvlStrCache>
            </c:multiLvlStrRef>
          </c:cat>
          <c:val>
            <c:numRef>
              <c:f>'HWB Perf Rep'!$F$3:$F$4</c:f>
              <c:numCache>
                <c:formatCode>General</c:formatCode>
                <c:ptCount val="2"/>
                <c:pt idx="0">
                  <c:v>1</c:v>
                </c:pt>
                <c:pt idx="1">
                  <c:v>15</c:v>
                </c:pt>
              </c:numCache>
            </c:numRef>
          </c:val>
          <c:smooth val="0"/>
          <c:extLst>
            <c:ext xmlns:c16="http://schemas.microsoft.com/office/drawing/2014/chart" uri="{C3380CC4-5D6E-409C-BE32-E72D297353CC}">
              <c16:uniqueId val="{00000003-70ED-4D3B-86AE-7DE25207DE9E}"/>
            </c:ext>
          </c:extLst>
        </c:ser>
        <c:dLbls>
          <c:dLblPos val="r"/>
          <c:showLegendKey val="0"/>
          <c:showVal val="1"/>
          <c:showCatName val="0"/>
          <c:showSerName val="0"/>
          <c:showPercent val="0"/>
          <c:showBubbleSize val="0"/>
        </c:dLbls>
        <c:marker val="1"/>
        <c:smooth val="0"/>
        <c:axId val="1459083664"/>
        <c:axId val="1459084144"/>
      </c:lineChart>
      <c:catAx>
        <c:axId val="145908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Financial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84144"/>
        <c:crosses val="autoZero"/>
        <c:auto val="1"/>
        <c:lblAlgn val="ctr"/>
        <c:lblOffset val="100"/>
        <c:noMultiLvlLbl val="0"/>
      </c:catAx>
      <c:valAx>
        <c:axId val="1459084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Activity</a:t>
                </a:r>
                <a:r>
                  <a:rPr lang="en-GB" baseline="0"/>
                  <a:t> count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83664"/>
        <c:crosses val="autoZero"/>
        <c:crossBetween val="between"/>
        <c:majorUnit val="5"/>
        <c:minorUnit val="5"/>
      </c:valAx>
      <c:spPr>
        <a:noFill/>
        <a:ln>
          <a:noFill/>
        </a:ln>
        <a:effectLst/>
      </c:spPr>
    </c:plotArea>
    <c:legend>
      <c:legendPos val="b"/>
      <c:layout>
        <c:manualLayout>
          <c:xMode val="edge"/>
          <c:yMode val="edge"/>
          <c:x val="7.1793525809273791E-3"/>
          <c:y val="0.82291557305336838"/>
          <c:w val="0.96897462817147839"/>
          <c:h val="0.14930664916885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3" Type="http://schemas.openxmlformats.org/officeDocument/2006/relationships/chart" Target="../charts/chart9.xml"/><Relationship Id="rId21" Type="http://schemas.openxmlformats.org/officeDocument/2006/relationships/chart" Target="../charts/chart27.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5" Type="http://schemas.openxmlformats.org/officeDocument/2006/relationships/chart" Target="../charts/chart21.xml"/><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chart" Target="../charts/chart2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7</xdr:col>
      <xdr:colOff>293225</xdr:colOff>
      <xdr:row>0</xdr:row>
      <xdr:rowOff>46685</xdr:rowOff>
    </xdr:from>
    <xdr:to>
      <xdr:col>10</xdr:col>
      <xdr:colOff>502418</xdr:colOff>
      <xdr:row>8</xdr:row>
      <xdr:rowOff>10469</xdr:rowOff>
    </xdr:to>
    <xdr:graphicFrame macro="">
      <xdr:nvGraphicFramePr>
        <xdr:cNvPr id="2" name="Chart 1">
          <a:extLst>
            <a:ext uri="{FF2B5EF4-FFF2-40B4-BE49-F238E27FC236}">
              <a16:creationId xmlns:a16="http://schemas.microsoft.com/office/drawing/2014/main" id="{F6C410A1-F36C-A579-1E28-E1EF22513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507547</xdr:colOff>
      <xdr:row>5</xdr:row>
      <xdr:rowOff>48368</xdr:rowOff>
    </xdr:from>
    <xdr:to>
      <xdr:col>11</xdr:col>
      <xdr:colOff>575687</xdr:colOff>
      <xdr:row>16</xdr:row>
      <xdr:rowOff>10467</xdr:rowOff>
    </xdr:to>
    <xdr:graphicFrame macro="">
      <xdr:nvGraphicFramePr>
        <xdr:cNvPr id="3" name="Chart 2">
          <a:extLst>
            <a:ext uri="{FF2B5EF4-FFF2-40B4-BE49-F238E27FC236}">
              <a16:creationId xmlns:a16="http://schemas.microsoft.com/office/drawing/2014/main" id="{5A9F9860-A6BA-6833-9DB4-DC0B08C52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38799</xdr:colOff>
      <xdr:row>30</xdr:row>
      <xdr:rowOff>20931</xdr:rowOff>
    </xdr:from>
    <xdr:to>
      <xdr:col>16</xdr:col>
      <xdr:colOff>471017</xdr:colOff>
      <xdr:row>40</xdr:row>
      <xdr:rowOff>125605</xdr:rowOff>
    </xdr:to>
    <xdr:graphicFrame macro="">
      <xdr:nvGraphicFramePr>
        <xdr:cNvPr id="5" name="Chart 4">
          <a:extLst>
            <a:ext uri="{FF2B5EF4-FFF2-40B4-BE49-F238E27FC236}">
              <a16:creationId xmlns:a16="http://schemas.microsoft.com/office/drawing/2014/main" id="{81FE0B1A-AAF8-A7ED-C30F-2355E0500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158050</xdr:colOff>
      <xdr:row>41</xdr:row>
      <xdr:rowOff>19399</xdr:rowOff>
    </xdr:from>
    <xdr:to>
      <xdr:col>16</xdr:col>
      <xdr:colOff>572511</xdr:colOff>
      <xdr:row>55</xdr:row>
      <xdr:rowOff>59627</xdr:rowOff>
    </xdr:to>
    <xdr:graphicFrame macro="">
      <xdr:nvGraphicFramePr>
        <xdr:cNvPr id="6" name="Chart 5">
          <a:extLst>
            <a:ext uri="{FF2B5EF4-FFF2-40B4-BE49-F238E27FC236}">
              <a16:creationId xmlns:a16="http://schemas.microsoft.com/office/drawing/2014/main" id="{4A0C6E7A-69E5-1A40-F929-F9D41D228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220853</xdr:colOff>
      <xdr:row>56</xdr:row>
      <xdr:rowOff>80561</xdr:rowOff>
    </xdr:from>
    <xdr:to>
      <xdr:col>16</xdr:col>
      <xdr:colOff>394572</xdr:colOff>
      <xdr:row>68</xdr:row>
      <xdr:rowOff>79620</xdr:rowOff>
    </xdr:to>
    <xdr:graphicFrame macro="">
      <xdr:nvGraphicFramePr>
        <xdr:cNvPr id="8" name="Chart 7">
          <a:extLst>
            <a:ext uri="{FF2B5EF4-FFF2-40B4-BE49-F238E27FC236}">
              <a16:creationId xmlns:a16="http://schemas.microsoft.com/office/drawing/2014/main" id="{829EC35C-F54F-CAF1-FE70-7ADFB3DC8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463655</xdr:colOff>
      <xdr:row>15</xdr:row>
      <xdr:rowOff>103134</xdr:rowOff>
    </xdr:from>
    <xdr:to>
      <xdr:col>17</xdr:col>
      <xdr:colOff>219806</xdr:colOff>
      <xdr:row>29</xdr:row>
      <xdr:rowOff>167473</xdr:rowOff>
    </xdr:to>
    <xdr:graphicFrame macro="">
      <xdr:nvGraphicFramePr>
        <xdr:cNvPr id="7" name="Chart 6">
          <a:extLst>
            <a:ext uri="{FF2B5EF4-FFF2-40B4-BE49-F238E27FC236}">
              <a16:creationId xmlns:a16="http://schemas.microsoft.com/office/drawing/2014/main" id="{6FF0A5CB-7460-DAAB-60E2-0CB93E4EA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18</xdr:row>
      <xdr:rowOff>0</xdr:rowOff>
    </xdr:from>
    <xdr:to>
      <xdr:col>5</xdr:col>
      <xdr:colOff>1181101</xdr:colOff>
      <xdr:row>33</xdr:row>
      <xdr:rowOff>31750</xdr:rowOff>
    </xdr:to>
    <xdr:graphicFrame macro="">
      <xdr:nvGraphicFramePr>
        <xdr:cNvPr id="4" name="Chart 3">
          <a:extLst>
            <a:ext uri="{FF2B5EF4-FFF2-40B4-BE49-F238E27FC236}">
              <a16:creationId xmlns:a16="http://schemas.microsoft.com/office/drawing/2014/main" id="{A5C8A005-0CC7-4F62-AC37-F2793C3B1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3</xdr:row>
      <xdr:rowOff>0</xdr:rowOff>
    </xdr:from>
    <xdr:to>
      <xdr:col>5</xdr:col>
      <xdr:colOff>1117601</xdr:colOff>
      <xdr:row>17</xdr:row>
      <xdr:rowOff>142875</xdr:rowOff>
    </xdr:to>
    <xdr:graphicFrame macro="">
      <xdr:nvGraphicFramePr>
        <xdr:cNvPr id="5" name="Chart 4">
          <a:extLst>
            <a:ext uri="{FF2B5EF4-FFF2-40B4-BE49-F238E27FC236}">
              <a16:creationId xmlns:a16="http://schemas.microsoft.com/office/drawing/2014/main" id="{A4FFFB17-5967-494C-8E0D-94C8E4492DB6}"/>
            </a:ext>
            <a:ext uri="{147F2762-F138-4A5C-976F-8EAC2B608ADB}">
              <a16:predDERef xmlns:a16="http://schemas.microsoft.com/office/drawing/2014/main" pred="{A5C8A005-0CC7-4F62-AC37-F2793C3B1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33</xdr:row>
      <xdr:rowOff>141287</xdr:rowOff>
    </xdr:from>
    <xdr:to>
      <xdr:col>11</xdr:col>
      <xdr:colOff>215900</xdr:colOff>
      <xdr:row>49</xdr:row>
      <xdr:rowOff>1587</xdr:rowOff>
    </xdr:to>
    <xdr:graphicFrame macro="">
      <xdr:nvGraphicFramePr>
        <xdr:cNvPr id="2" name="Chart 1">
          <a:extLst>
            <a:ext uri="{FF2B5EF4-FFF2-40B4-BE49-F238E27FC236}">
              <a16:creationId xmlns:a16="http://schemas.microsoft.com/office/drawing/2014/main" id="{4E5BA647-C803-DA22-061E-EB0E927F4F89}"/>
            </a:ext>
            <a:ext uri="{147F2762-F138-4A5C-976F-8EAC2B608ADB}">
              <a16:predDERef xmlns:a16="http://schemas.microsoft.com/office/drawing/2014/main" pred="{A4FFFB17-5967-494C-8E0D-94C8E4492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581025</xdr:colOff>
      <xdr:row>51</xdr:row>
      <xdr:rowOff>11112</xdr:rowOff>
    </xdr:from>
    <xdr:to>
      <xdr:col>11</xdr:col>
      <xdr:colOff>273050</xdr:colOff>
      <xdr:row>66</xdr:row>
      <xdr:rowOff>46037</xdr:rowOff>
    </xdr:to>
    <xdr:graphicFrame macro="">
      <xdr:nvGraphicFramePr>
        <xdr:cNvPr id="3" name="Chart 2">
          <a:extLst>
            <a:ext uri="{FF2B5EF4-FFF2-40B4-BE49-F238E27FC236}">
              <a16:creationId xmlns:a16="http://schemas.microsoft.com/office/drawing/2014/main" id="{9FD38781-003B-A637-8717-6CC13C425956}"/>
            </a:ext>
            <a:ext uri="{147F2762-F138-4A5C-976F-8EAC2B608ADB}">
              <a16:predDERef xmlns:a16="http://schemas.microsoft.com/office/drawing/2014/main" pred="{4E5BA647-C803-DA22-061E-EB0E927F4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408782</xdr:colOff>
      <xdr:row>24</xdr:row>
      <xdr:rowOff>149225</xdr:rowOff>
    </xdr:from>
    <xdr:to>
      <xdr:col>26</xdr:col>
      <xdr:colOff>313532</xdr:colOff>
      <xdr:row>54</xdr:row>
      <xdr:rowOff>65880</xdr:rowOff>
    </xdr:to>
    <xdr:graphicFrame macro="">
      <xdr:nvGraphicFramePr>
        <xdr:cNvPr id="6" name="Chart 5">
          <a:extLst>
            <a:ext uri="{FF2B5EF4-FFF2-40B4-BE49-F238E27FC236}">
              <a16:creationId xmlns:a16="http://schemas.microsoft.com/office/drawing/2014/main" id="{6AC45335-0E6B-403B-948B-664FAC7A7B72}"/>
            </a:ext>
            <a:ext uri="{147F2762-F138-4A5C-976F-8EAC2B608ADB}">
              <a16:predDERef xmlns:a16="http://schemas.microsoft.com/office/drawing/2014/main" pred="{9FD38781-003B-A637-8717-6CC13C425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1447800</xdr:colOff>
      <xdr:row>2</xdr:row>
      <xdr:rowOff>142875</xdr:rowOff>
    </xdr:from>
    <xdr:to>
      <xdr:col>13</xdr:col>
      <xdr:colOff>254000</xdr:colOff>
      <xdr:row>17</xdr:row>
      <xdr:rowOff>171450</xdr:rowOff>
    </xdr:to>
    <xdr:graphicFrame macro="">
      <xdr:nvGraphicFramePr>
        <xdr:cNvPr id="9" name="Chart 8">
          <a:extLst>
            <a:ext uri="{FF2B5EF4-FFF2-40B4-BE49-F238E27FC236}">
              <a16:creationId xmlns:a16="http://schemas.microsoft.com/office/drawing/2014/main" id="{833A4699-23B2-4F15-B58A-84227EC92797}"/>
            </a:ext>
            <a:ext uri="{147F2762-F138-4A5C-976F-8EAC2B608ADB}">
              <a16:predDERef xmlns:a16="http://schemas.microsoft.com/office/drawing/2014/main" pred="{6AC45335-0E6B-403B-948B-664FAC7A7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244475</xdr:colOff>
      <xdr:row>2</xdr:row>
      <xdr:rowOff>178592</xdr:rowOff>
    </xdr:from>
    <xdr:to>
      <xdr:col>27</xdr:col>
      <xdr:colOff>66675</xdr:colOff>
      <xdr:row>29</xdr:row>
      <xdr:rowOff>66675</xdr:rowOff>
    </xdr:to>
    <xdr:graphicFrame macro="">
      <xdr:nvGraphicFramePr>
        <xdr:cNvPr id="7" name="Chart 6">
          <a:extLst>
            <a:ext uri="{FF2B5EF4-FFF2-40B4-BE49-F238E27FC236}">
              <a16:creationId xmlns:a16="http://schemas.microsoft.com/office/drawing/2014/main" id="{63F9520B-B55F-4B56-851B-3CCEA0D92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579042</xdr:colOff>
      <xdr:row>28</xdr:row>
      <xdr:rowOff>115095</xdr:rowOff>
    </xdr:from>
    <xdr:to>
      <xdr:col>41</xdr:col>
      <xdr:colOff>29370</xdr:colOff>
      <xdr:row>55</xdr:row>
      <xdr:rowOff>69057</xdr:rowOff>
    </xdr:to>
    <xdr:graphicFrame macro="">
      <xdr:nvGraphicFramePr>
        <xdr:cNvPr id="8" name="Chart 7">
          <a:extLst>
            <a:ext uri="{FF2B5EF4-FFF2-40B4-BE49-F238E27FC236}">
              <a16:creationId xmlns:a16="http://schemas.microsoft.com/office/drawing/2014/main" id="{2C25C0A2-D35B-4927-BFE8-C8A6AFEB2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469786</xdr:colOff>
      <xdr:row>56</xdr:row>
      <xdr:rowOff>67923</xdr:rowOff>
    </xdr:from>
    <xdr:to>
      <xdr:col>36</xdr:col>
      <xdr:colOff>345282</xdr:colOff>
      <xdr:row>71</xdr:row>
      <xdr:rowOff>2778</xdr:rowOff>
    </xdr:to>
    <xdr:graphicFrame macro="">
      <xdr:nvGraphicFramePr>
        <xdr:cNvPr id="10" name="Chart 9">
          <a:extLst>
            <a:ext uri="{FF2B5EF4-FFF2-40B4-BE49-F238E27FC236}">
              <a16:creationId xmlns:a16="http://schemas.microsoft.com/office/drawing/2014/main" id="{E130D231-CD43-537C-374D-21C9B43DF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532534</xdr:colOff>
      <xdr:row>72</xdr:row>
      <xdr:rowOff>50553</xdr:rowOff>
    </xdr:from>
    <xdr:to>
      <xdr:col>35</xdr:col>
      <xdr:colOff>150628</xdr:colOff>
      <xdr:row>88</xdr:row>
      <xdr:rowOff>68696</xdr:rowOff>
    </xdr:to>
    <xdr:graphicFrame macro="">
      <xdr:nvGraphicFramePr>
        <xdr:cNvPr id="12" name="Chart 11">
          <a:extLst>
            <a:ext uri="{FF2B5EF4-FFF2-40B4-BE49-F238E27FC236}">
              <a16:creationId xmlns:a16="http://schemas.microsoft.com/office/drawing/2014/main" id="{61A2E7AC-2FD7-E5EF-2FE1-B89CC3F19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22677</xdr:colOff>
      <xdr:row>91</xdr:row>
      <xdr:rowOff>48077</xdr:rowOff>
    </xdr:from>
    <xdr:to>
      <xdr:col>34</xdr:col>
      <xdr:colOff>90714</xdr:colOff>
      <xdr:row>109</xdr:row>
      <xdr:rowOff>181428</xdr:rowOff>
    </xdr:to>
    <xdr:graphicFrame macro="">
      <xdr:nvGraphicFramePr>
        <xdr:cNvPr id="14" name="Chart 13">
          <a:extLst>
            <a:ext uri="{FF2B5EF4-FFF2-40B4-BE49-F238E27FC236}">
              <a16:creationId xmlns:a16="http://schemas.microsoft.com/office/drawing/2014/main" id="{993C8EEE-BF85-6C7C-90CB-73FFD650E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44</xdr:col>
      <xdr:colOff>145652</xdr:colOff>
      <xdr:row>56</xdr:row>
      <xdr:rowOff>151095</xdr:rowOff>
    </xdr:from>
    <xdr:to>
      <xdr:col>52</xdr:col>
      <xdr:colOff>312736</xdr:colOff>
      <xdr:row>71</xdr:row>
      <xdr:rowOff>135732</xdr:rowOff>
    </xdr:to>
    <xdr:graphicFrame macro="">
      <xdr:nvGraphicFramePr>
        <xdr:cNvPr id="11" name="Chart 10">
          <a:extLst>
            <a:ext uri="{FF2B5EF4-FFF2-40B4-BE49-F238E27FC236}">
              <a16:creationId xmlns:a16="http://schemas.microsoft.com/office/drawing/2014/main" id="{1E1B73F2-79A4-FB5A-F178-DD1D2A07C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44</xdr:col>
      <xdr:colOff>513359</xdr:colOff>
      <xdr:row>72</xdr:row>
      <xdr:rowOff>112691</xdr:rowOff>
    </xdr:from>
    <xdr:to>
      <xdr:col>52</xdr:col>
      <xdr:colOff>516080</xdr:colOff>
      <xdr:row>88</xdr:row>
      <xdr:rowOff>160770</xdr:rowOff>
    </xdr:to>
    <xdr:graphicFrame macro="">
      <xdr:nvGraphicFramePr>
        <xdr:cNvPr id="15" name="Chart 14">
          <a:extLst>
            <a:ext uri="{FF2B5EF4-FFF2-40B4-BE49-F238E27FC236}">
              <a16:creationId xmlns:a16="http://schemas.microsoft.com/office/drawing/2014/main" id="{9075B3F7-D2FB-0FD8-39B6-D5BC17993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45</xdr:col>
      <xdr:colOff>200148</xdr:colOff>
      <xdr:row>89</xdr:row>
      <xdr:rowOff>167616</xdr:rowOff>
    </xdr:from>
    <xdr:to>
      <xdr:col>53</xdr:col>
      <xdr:colOff>378114</xdr:colOff>
      <xdr:row>108</xdr:row>
      <xdr:rowOff>92364</xdr:rowOff>
    </xdr:to>
    <xdr:graphicFrame macro="">
      <xdr:nvGraphicFramePr>
        <xdr:cNvPr id="16" name="Chart 15">
          <a:extLst>
            <a:ext uri="{FF2B5EF4-FFF2-40B4-BE49-F238E27FC236}">
              <a16:creationId xmlns:a16="http://schemas.microsoft.com/office/drawing/2014/main" id="{CF76E970-5597-9E88-2D88-7E96426CC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53</xdr:col>
      <xdr:colOff>560161</xdr:colOff>
      <xdr:row>57</xdr:row>
      <xdr:rowOff>39007</xdr:rowOff>
    </xdr:from>
    <xdr:to>
      <xdr:col>61</xdr:col>
      <xdr:colOff>274411</xdr:colOff>
      <xdr:row>72</xdr:row>
      <xdr:rowOff>63953</xdr:rowOff>
    </xdr:to>
    <xdr:graphicFrame macro="">
      <xdr:nvGraphicFramePr>
        <xdr:cNvPr id="17" name="Chart 16">
          <a:extLst>
            <a:ext uri="{FF2B5EF4-FFF2-40B4-BE49-F238E27FC236}">
              <a16:creationId xmlns:a16="http://schemas.microsoft.com/office/drawing/2014/main" id="{AB1EBAFC-4FFC-2F11-2F41-EEA51EA61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582215</xdr:colOff>
      <xdr:row>0</xdr:row>
      <xdr:rowOff>66278</xdr:rowOff>
    </xdr:from>
    <xdr:to>
      <xdr:col>42</xdr:col>
      <xdr:colOff>105569</xdr:colOff>
      <xdr:row>26</xdr:row>
      <xdr:rowOff>122634</xdr:rowOff>
    </xdr:to>
    <xdr:graphicFrame macro="">
      <xdr:nvGraphicFramePr>
        <xdr:cNvPr id="18" name="Chart 17">
          <a:extLst>
            <a:ext uri="{FF2B5EF4-FFF2-40B4-BE49-F238E27FC236}">
              <a16:creationId xmlns:a16="http://schemas.microsoft.com/office/drawing/2014/main" id="{729B1E15-C222-4BA6-B5A6-D10BE6FBF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42</xdr:col>
      <xdr:colOff>0</xdr:colOff>
      <xdr:row>25</xdr:row>
      <xdr:rowOff>83343</xdr:rowOff>
    </xdr:from>
    <xdr:to>
      <xdr:col>56</xdr:col>
      <xdr:colOff>55562</xdr:colOff>
      <xdr:row>55</xdr:row>
      <xdr:rowOff>132556</xdr:rowOff>
    </xdr:to>
    <xdr:graphicFrame macro="">
      <xdr:nvGraphicFramePr>
        <xdr:cNvPr id="19" name="Chart 18">
          <a:extLst>
            <a:ext uri="{FF2B5EF4-FFF2-40B4-BE49-F238E27FC236}">
              <a16:creationId xmlns:a16="http://schemas.microsoft.com/office/drawing/2014/main" id="{FAA3E718-AD48-4DEB-A2A8-45D15E73E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37</xdr:col>
      <xdr:colOff>0</xdr:colOff>
      <xdr:row>57</xdr:row>
      <xdr:rowOff>0</xdr:rowOff>
    </xdr:from>
    <xdr:to>
      <xdr:col>44</xdr:col>
      <xdr:colOff>485890</xdr:colOff>
      <xdr:row>71</xdr:row>
      <xdr:rowOff>113449</xdr:rowOff>
    </xdr:to>
    <xdr:graphicFrame macro="">
      <xdr:nvGraphicFramePr>
        <xdr:cNvPr id="20" name="Chart 19">
          <a:extLst>
            <a:ext uri="{FF2B5EF4-FFF2-40B4-BE49-F238E27FC236}">
              <a16:creationId xmlns:a16="http://schemas.microsoft.com/office/drawing/2014/main" id="{35149A55-8FF4-47C1-B594-E2274DC05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36</xdr:col>
      <xdr:colOff>0</xdr:colOff>
      <xdr:row>72</xdr:row>
      <xdr:rowOff>0</xdr:rowOff>
    </xdr:from>
    <xdr:to>
      <xdr:col>44</xdr:col>
      <xdr:colOff>221055</xdr:colOff>
      <xdr:row>88</xdr:row>
      <xdr:rowOff>18143</xdr:rowOff>
    </xdr:to>
    <xdr:graphicFrame macro="">
      <xdr:nvGraphicFramePr>
        <xdr:cNvPr id="21" name="Chart 20">
          <a:extLst>
            <a:ext uri="{FF2B5EF4-FFF2-40B4-BE49-F238E27FC236}">
              <a16:creationId xmlns:a16="http://schemas.microsoft.com/office/drawing/2014/main" id="{2D0BD7AB-EB82-4226-992E-A6E00E60D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35</xdr:col>
      <xdr:colOff>0</xdr:colOff>
      <xdr:row>91</xdr:row>
      <xdr:rowOff>0</xdr:rowOff>
    </xdr:from>
    <xdr:to>
      <xdr:col>43</xdr:col>
      <xdr:colOff>61687</xdr:colOff>
      <xdr:row>109</xdr:row>
      <xdr:rowOff>133351</xdr:rowOff>
    </xdr:to>
    <xdr:graphicFrame macro="">
      <xdr:nvGraphicFramePr>
        <xdr:cNvPr id="22" name="Chart 21">
          <a:extLst>
            <a:ext uri="{FF2B5EF4-FFF2-40B4-BE49-F238E27FC236}">
              <a16:creationId xmlns:a16="http://schemas.microsoft.com/office/drawing/2014/main" id="{F6CFF5B5-80A8-4CBE-9F30-ACE4C09E0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57</xdr:col>
      <xdr:colOff>1</xdr:colOff>
      <xdr:row>26</xdr:row>
      <xdr:rowOff>0</xdr:rowOff>
    </xdr:from>
    <xdr:to>
      <xdr:col>71</xdr:col>
      <xdr:colOff>277019</xdr:colOff>
      <xdr:row>52</xdr:row>
      <xdr:rowOff>59531</xdr:rowOff>
    </xdr:to>
    <xdr:graphicFrame macro="">
      <xdr:nvGraphicFramePr>
        <xdr:cNvPr id="23" name="Chart 22">
          <a:extLst>
            <a:ext uri="{FF2B5EF4-FFF2-40B4-BE49-F238E27FC236}">
              <a16:creationId xmlns:a16="http://schemas.microsoft.com/office/drawing/2014/main" id="{1DBA4038-3851-4DBE-B153-B78C17A608A9}"/>
            </a:ext>
            <a:ext uri="{147F2762-F138-4A5C-976F-8EAC2B608ADB}">
              <a16:predDERef xmlns:a16="http://schemas.microsoft.com/office/drawing/2014/main" pred="{9FD38781-003B-A637-8717-6CC13C425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61</xdr:col>
      <xdr:colOff>607218</xdr:colOff>
      <xdr:row>57</xdr:row>
      <xdr:rowOff>0</xdr:rowOff>
    </xdr:from>
    <xdr:to>
      <xdr:col>71</xdr:col>
      <xdr:colOff>8730</xdr:colOff>
      <xdr:row>76</xdr:row>
      <xdr:rowOff>68262</xdr:rowOff>
    </xdr:to>
    <xdr:graphicFrame macro="">
      <xdr:nvGraphicFramePr>
        <xdr:cNvPr id="24" name="Chart 23">
          <a:extLst>
            <a:ext uri="{FF2B5EF4-FFF2-40B4-BE49-F238E27FC236}">
              <a16:creationId xmlns:a16="http://schemas.microsoft.com/office/drawing/2014/main" id="{09278352-D1B6-45D2-BBDA-DB4D216AA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6349</xdr:colOff>
      <xdr:row>2</xdr:row>
      <xdr:rowOff>60325</xdr:rowOff>
    </xdr:from>
    <xdr:to>
      <xdr:col>15</xdr:col>
      <xdr:colOff>610657</xdr:colOff>
      <xdr:row>20</xdr:row>
      <xdr:rowOff>109714</xdr:rowOff>
    </xdr:to>
    <xdr:graphicFrame macro="">
      <xdr:nvGraphicFramePr>
        <xdr:cNvPr id="11" name="Chart 10">
          <a:extLst>
            <a:ext uri="{FF2B5EF4-FFF2-40B4-BE49-F238E27FC236}">
              <a16:creationId xmlns:a16="http://schemas.microsoft.com/office/drawing/2014/main" id="{27D7A784-715F-496A-E6EA-EC3F1742C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Kathryn Harris (Public Health Wales - Matrix House)" id="{C3FC5127-D4C1-4145-9A32-3690494CEBED}" userId="S::Kathryn.Harris4@wales.nhs.uk::b042ac82-3f83-43f1-a5c7-c68fbf9b8e2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ryn Harris (Public Health Wales - Matrix House)" refreshedDate="46048.580670254632" createdVersion="8" refreshedVersion="8" minRefreshableVersion="3" recordCount="25" xr:uid="{AF302F5D-40A6-48F0-BCBA-6099B830C86D}">
  <cacheSource type="worksheet">
    <worksheetSource ref="F2:F105" sheet="Survey info"/>
  </cacheSource>
  <cacheFields count="1">
    <cacheField name="Size" numFmtId="49">
      <sharedItems count="7">
        <s v="1000+"/>
        <s v="10-19"/>
        <s v="100-249"/>
        <s v="50-99"/>
        <s v="_x000a_20-49"/>
        <s v="5-9"/>
        <s v="_x000a_250-999"/>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ryn Harris (Public Health Wales - Matrix House)" refreshedDate="46048.583452777777" createdVersion="8" refreshedVersion="8" minRefreshableVersion="3" recordCount="25" xr:uid="{99D5A5B5-657B-4CB8-929E-A207F556E4AD}">
  <cacheSource type="worksheet">
    <worksheetSource ref="G2:G105" sheet="Survey info"/>
  </cacheSource>
  <cacheFields count="1">
    <cacheField name="Sector" numFmtId="0">
      <sharedItems count="4">
        <s v="Private Sector"/>
        <s v="Public Sector (local or central government financed organisation)"/>
        <s v="Charity or voluntary sector (including social enterprises)"/>
        <s v="other_options"/>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r>
  <r>
    <x v="0"/>
  </r>
  <r>
    <x v="1"/>
  </r>
  <r>
    <x v="2"/>
  </r>
  <r>
    <x v="0"/>
  </r>
  <r>
    <x v="0"/>
  </r>
  <r>
    <x v="2"/>
  </r>
  <r>
    <x v="3"/>
  </r>
  <r>
    <x v="2"/>
  </r>
  <r>
    <x v="4"/>
  </r>
  <r>
    <x v="0"/>
  </r>
  <r>
    <x v="1"/>
  </r>
  <r>
    <x v="0"/>
  </r>
  <r>
    <x v="0"/>
  </r>
  <r>
    <x v="0"/>
  </r>
  <r>
    <x v="5"/>
  </r>
  <r>
    <x v="6"/>
  </r>
  <r>
    <x v="4"/>
  </r>
  <r>
    <x v="1"/>
  </r>
  <r>
    <x v="6"/>
  </r>
  <r>
    <x v="2"/>
  </r>
  <r>
    <x v="0"/>
  </r>
  <r>
    <x v="6"/>
  </r>
  <r>
    <x v="5"/>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r>
  <r>
    <x v="1"/>
  </r>
  <r>
    <x v="0"/>
  </r>
  <r>
    <x v="2"/>
  </r>
  <r>
    <x v="1"/>
  </r>
  <r>
    <x v="1"/>
  </r>
  <r>
    <x v="0"/>
  </r>
  <r>
    <x v="1"/>
  </r>
  <r>
    <x v="0"/>
  </r>
  <r>
    <x v="2"/>
  </r>
  <r>
    <x v="1"/>
  </r>
  <r>
    <x v="0"/>
  </r>
  <r>
    <x v="1"/>
  </r>
  <r>
    <x v="0"/>
  </r>
  <r>
    <x v="1"/>
  </r>
  <r>
    <x v="3"/>
  </r>
  <r>
    <x v="0"/>
  </r>
  <r>
    <x v="1"/>
  </r>
  <r>
    <x v="3"/>
  </r>
  <r>
    <x v="0"/>
  </r>
  <r>
    <x v="0"/>
  </r>
  <r>
    <x v="0"/>
  </r>
  <r>
    <x v="1"/>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FA5B0B-351D-4D91-A2BB-158173F295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5:C43" firstHeaderRow="1" firstDataRow="1" firstDataCol="1"/>
  <pivotFields count="1">
    <pivotField axis="axisRow" dataField="1" showAll="0">
      <items count="8">
        <item x="0"/>
        <item x="2"/>
        <item x="1"/>
        <item n="250-999" x="6"/>
        <item x="5"/>
        <item n="20-49" x="4"/>
        <item x="3"/>
        <item t="default"/>
      </items>
    </pivotField>
  </pivotFields>
  <rowFields count="1">
    <field x="0"/>
  </rowFields>
  <rowItems count="8">
    <i>
      <x/>
    </i>
    <i>
      <x v="1"/>
    </i>
    <i>
      <x v="2"/>
    </i>
    <i>
      <x v="3"/>
    </i>
    <i>
      <x v="4"/>
    </i>
    <i>
      <x v="5"/>
    </i>
    <i>
      <x v="6"/>
    </i>
    <i t="grand">
      <x/>
    </i>
  </rowItems>
  <colItems count="1">
    <i/>
  </colItems>
  <dataFields count="1">
    <dataField name="Count of Siz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E422C1-D4CA-4703-BC67-E6653585E30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2:C57" firstHeaderRow="1" firstDataRow="1" firstDataCol="1"/>
  <pivotFields count="1">
    <pivotField axis="axisRow" dataField="1" showAll="0">
      <items count="5">
        <item x="0"/>
        <item x="1"/>
        <item x="2"/>
        <item x="3"/>
        <item t="default"/>
      </items>
    </pivotField>
  </pivotFields>
  <rowFields count="1">
    <field x="0"/>
  </rowFields>
  <rowItems count="5">
    <i>
      <x/>
    </i>
    <i>
      <x v="1"/>
    </i>
    <i>
      <x v="2"/>
    </i>
    <i>
      <x v="3"/>
    </i>
    <i t="grand">
      <x/>
    </i>
  </rowItems>
  <colItems count="1">
    <i/>
  </colItems>
  <dataFields count="1">
    <dataField name="Count of Sector"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82" dT="2026-02-25T12:30:25.65" personId="{C3FC5127-D4C1-4145-9A32-3690494CEBED}" id="{1F136801-4270-4CD4-82DF-D3B3C61FE4CF}">
    <text>Not accurate - may have answered size of team / number of sites?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3" Type="http://schemas.openxmlformats.org/officeDocument/2006/relationships/hyperlink" Target="mailto:name12@email.com" TargetMode="External"/><Relationship Id="rId18" Type="http://schemas.openxmlformats.org/officeDocument/2006/relationships/hyperlink" Target="mailto:name11@email.com" TargetMode="External"/><Relationship Id="rId26" Type="http://schemas.openxmlformats.org/officeDocument/2006/relationships/hyperlink" Target="mailto:name15@email.com" TargetMode="External"/><Relationship Id="rId39" Type="http://schemas.openxmlformats.org/officeDocument/2006/relationships/hyperlink" Target="mailto:name13@email.com" TargetMode="External"/><Relationship Id="rId21" Type="http://schemas.openxmlformats.org/officeDocument/2006/relationships/hyperlink" Target="mailto:name12@email.com" TargetMode="External"/><Relationship Id="rId34" Type="http://schemas.openxmlformats.org/officeDocument/2006/relationships/hyperlink" Target="mailto:name14@email.com" TargetMode="External"/><Relationship Id="rId42" Type="http://schemas.openxmlformats.org/officeDocument/2006/relationships/hyperlink" Target="mailto:name14@email.com" TargetMode="External"/><Relationship Id="rId47" Type="http://schemas.openxmlformats.org/officeDocument/2006/relationships/hyperlink" Target="mailto:name13@email.com" TargetMode="External"/><Relationship Id="rId50" Type="http://schemas.openxmlformats.org/officeDocument/2006/relationships/hyperlink" Target="mailto:name13@email.com" TargetMode="External"/><Relationship Id="rId55" Type="http://schemas.openxmlformats.org/officeDocument/2006/relationships/hyperlink" Target="mailto:name14@email.com" TargetMode="External"/><Relationship Id="rId63" Type="http://schemas.openxmlformats.org/officeDocument/2006/relationships/hyperlink" Target="mailto:name15@email.com" TargetMode="External"/><Relationship Id="rId7" Type="http://schemas.openxmlformats.org/officeDocument/2006/relationships/hyperlink" Target="mailto:name@email.com" TargetMode="External"/><Relationship Id="rId2" Type="http://schemas.openxmlformats.org/officeDocument/2006/relationships/hyperlink" Target="mailto:name8@email.com" TargetMode="External"/><Relationship Id="rId16" Type="http://schemas.openxmlformats.org/officeDocument/2006/relationships/hyperlink" Target="mailto:name10@email.com" TargetMode="External"/><Relationship Id="rId29" Type="http://schemas.openxmlformats.org/officeDocument/2006/relationships/hyperlink" Target="mailto:name13@email.com" TargetMode="External"/><Relationship Id="rId11" Type="http://schemas.openxmlformats.org/officeDocument/2006/relationships/hyperlink" Target="mailto:name10@email.com" TargetMode="External"/><Relationship Id="rId24" Type="http://schemas.openxmlformats.org/officeDocument/2006/relationships/hyperlink" Target="mailto:name13@email.com" TargetMode="External"/><Relationship Id="rId32" Type="http://schemas.openxmlformats.org/officeDocument/2006/relationships/hyperlink" Target="mailto:name14@email.com" TargetMode="External"/><Relationship Id="rId37" Type="http://schemas.openxmlformats.org/officeDocument/2006/relationships/hyperlink" Target="mailto:name15@email.com" TargetMode="External"/><Relationship Id="rId40" Type="http://schemas.openxmlformats.org/officeDocument/2006/relationships/hyperlink" Target="mailto:name13@email.com" TargetMode="External"/><Relationship Id="rId45" Type="http://schemas.openxmlformats.org/officeDocument/2006/relationships/hyperlink" Target="mailto:name13@email.com" TargetMode="External"/><Relationship Id="rId53" Type="http://schemas.openxmlformats.org/officeDocument/2006/relationships/hyperlink" Target="mailto:name14@email.com" TargetMode="External"/><Relationship Id="rId58" Type="http://schemas.openxmlformats.org/officeDocument/2006/relationships/hyperlink" Target="mailto:name14@email.com" TargetMode="External"/><Relationship Id="rId5" Type="http://schemas.openxmlformats.org/officeDocument/2006/relationships/hyperlink" Target="mailto:name5@email.com" TargetMode="External"/><Relationship Id="rId61" Type="http://schemas.openxmlformats.org/officeDocument/2006/relationships/hyperlink" Target="mailto:name15@email.com" TargetMode="External"/><Relationship Id="rId19" Type="http://schemas.openxmlformats.org/officeDocument/2006/relationships/hyperlink" Target="mailto:name12@email.com" TargetMode="External"/><Relationship Id="rId14" Type="http://schemas.openxmlformats.org/officeDocument/2006/relationships/hyperlink" Target="mailto:name10@email.com" TargetMode="External"/><Relationship Id="rId22" Type="http://schemas.openxmlformats.org/officeDocument/2006/relationships/hyperlink" Target="mailto:name12@email.com" TargetMode="External"/><Relationship Id="rId27" Type="http://schemas.openxmlformats.org/officeDocument/2006/relationships/hyperlink" Target="mailto:name13@email.com" TargetMode="External"/><Relationship Id="rId30" Type="http://schemas.openxmlformats.org/officeDocument/2006/relationships/hyperlink" Target="mailto:name13@email.com" TargetMode="External"/><Relationship Id="rId35" Type="http://schemas.openxmlformats.org/officeDocument/2006/relationships/hyperlink" Target="mailto:name15@email.com" TargetMode="External"/><Relationship Id="rId43" Type="http://schemas.openxmlformats.org/officeDocument/2006/relationships/hyperlink" Target="mailto:name15@email.com" TargetMode="External"/><Relationship Id="rId48" Type="http://schemas.openxmlformats.org/officeDocument/2006/relationships/hyperlink" Target="mailto:name13@email.com" TargetMode="External"/><Relationship Id="rId56" Type="http://schemas.openxmlformats.org/officeDocument/2006/relationships/hyperlink" Target="mailto:name14@email.com" TargetMode="External"/><Relationship Id="rId64" Type="http://schemas.openxmlformats.org/officeDocument/2006/relationships/hyperlink" Target="mailto:name15@email.com" TargetMode="External"/><Relationship Id="rId8" Type="http://schemas.openxmlformats.org/officeDocument/2006/relationships/hyperlink" Target="mailto:name1@email.com" TargetMode="External"/><Relationship Id="rId51" Type="http://schemas.openxmlformats.org/officeDocument/2006/relationships/hyperlink" Target="mailto:name13@email.com" TargetMode="External"/><Relationship Id="rId3" Type="http://schemas.openxmlformats.org/officeDocument/2006/relationships/hyperlink" Target="mailto:name7@email.com" TargetMode="External"/><Relationship Id="rId12" Type="http://schemas.openxmlformats.org/officeDocument/2006/relationships/hyperlink" Target="mailto:name11@email.com" TargetMode="External"/><Relationship Id="rId17" Type="http://schemas.openxmlformats.org/officeDocument/2006/relationships/hyperlink" Target="mailto:name11@email.com" TargetMode="External"/><Relationship Id="rId25" Type="http://schemas.openxmlformats.org/officeDocument/2006/relationships/hyperlink" Target="mailto:name14@email.com" TargetMode="External"/><Relationship Id="rId33" Type="http://schemas.openxmlformats.org/officeDocument/2006/relationships/hyperlink" Target="mailto:name14@email.com" TargetMode="External"/><Relationship Id="rId38" Type="http://schemas.openxmlformats.org/officeDocument/2006/relationships/hyperlink" Target="mailto:name15@email.com" TargetMode="External"/><Relationship Id="rId46" Type="http://schemas.openxmlformats.org/officeDocument/2006/relationships/hyperlink" Target="mailto:name13@email.com" TargetMode="External"/><Relationship Id="rId59" Type="http://schemas.openxmlformats.org/officeDocument/2006/relationships/hyperlink" Target="mailto:name15@email.com" TargetMode="External"/><Relationship Id="rId20" Type="http://schemas.openxmlformats.org/officeDocument/2006/relationships/hyperlink" Target="mailto:name12@email.com" TargetMode="External"/><Relationship Id="rId41" Type="http://schemas.openxmlformats.org/officeDocument/2006/relationships/hyperlink" Target="mailto:name14@email.com" TargetMode="External"/><Relationship Id="rId54" Type="http://schemas.openxmlformats.org/officeDocument/2006/relationships/hyperlink" Target="mailto:name14@email.com" TargetMode="External"/><Relationship Id="rId62" Type="http://schemas.openxmlformats.org/officeDocument/2006/relationships/hyperlink" Target="mailto:name15@email.com" TargetMode="External"/><Relationship Id="rId1" Type="http://schemas.openxmlformats.org/officeDocument/2006/relationships/hyperlink" Target="mailto:name9@email.com" TargetMode="External"/><Relationship Id="rId6" Type="http://schemas.openxmlformats.org/officeDocument/2006/relationships/hyperlink" Target="mailto:name4@email.com" TargetMode="External"/><Relationship Id="rId15" Type="http://schemas.openxmlformats.org/officeDocument/2006/relationships/hyperlink" Target="mailto:name10@email.com" TargetMode="External"/><Relationship Id="rId23" Type="http://schemas.openxmlformats.org/officeDocument/2006/relationships/hyperlink" Target="mailto:othername@outlook.com" TargetMode="External"/><Relationship Id="rId28" Type="http://schemas.openxmlformats.org/officeDocument/2006/relationships/hyperlink" Target="mailto:name13@email.com" TargetMode="External"/><Relationship Id="rId36" Type="http://schemas.openxmlformats.org/officeDocument/2006/relationships/hyperlink" Target="mailto:name15@email.com" TargetMode="External"/><Relationship Id="rId49" Type="http://schemas.openxmlformats.org/officeDocument/2006/relationships/hyperlink" Target="mailto:name13@email.com" TargetMode="External"/><Relationship Id="rId57" Type="http://schemas.openxmlformats.org/officeDocument/2006/relationships/hyperlink" Target="mailto:name14@email.com" TargetMode="External"/><Relationship Id="rId10" Type="http://schemas.openxmlformats.org/officeDocument/2006/relationships/hyperlink" Target="mailto:name2@email.com" TargetMode="External"/><Relationship Id="rId31" Type="http://schemas.openxmlformats.org/officeDocument/2006/relationships/hyperlink" Target="mailto:name14@email.com" TargetMode="External"/><Relationship Id="rId44" Type="http://schemas.openxmlformats.org/officeDocument/2006/relationships/hyperlink" Target="mailto:name15@email.com" TargetMode="External"/><Relationship Id="rId52" Type="http://schemas.openxmlformats.org/officeDocument/2006/relationships/hyperlink" Target="mailto:name14@email.com" TargetMode="External"/><Relationship Id="rId60" Type="http://schemas.openxmlformats.org/officeDocument/2006/relationships/hyperlink" Target="mailto:name15@email.com" TargetMode="External"/><Relationship Id="rId4" Type="http://schemas.openxmlformats.org/officeDocument/2006/relationships/hyperlink" Target="mailto:name6@email.com" TargetMode="External"/><Relationship Id="rId9" Type="http://schemas.openxmlformats.org/officeDocument/2006/relationships/hyperlink" Target="mailto:name3@email.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93CEC-65CF-4229-AC3F-B8B732D416AA}">
  <dimension ref="A1:L202"/>
  <sheetViews>
    <sheetView topLeftCell="A88" zoomScaleNormal="100" workbookViewId="0">
      <selection activeCell="C3" sqref="C3:C105"/>
    </sheetView>
  </sheetViews>
  <sheetFormatPr defaultRowHeight="14.5" x14ac:dyDescent="0.35"/>
  <cols>
    <col min="2" max="2" width="10.453125" bestFit="1" customWidth="1"/>
    <col min="3" max="3" width="29.1796875" style="1" bestFit="1" customWidth="1"/>
    <col min="4" max="4" width="29.1796875" style="1" customWidth="1"/>
    <col min="5" max="5" width="8.7265625" style="3"/>
    <col min="6" max="6" width="37.453125" style="1" customWidth="1"/>
    <col min="7" max="7" width="45" style="1" customWidth="1"/>
    <col min="8" max="8" width="45.54296875" style="4" customWidth="1"/>
    <col min="9" max="9" width="21.26953125" customWidth="1"/>
    <col min="10" max="10" width="20.453125" customWidth="1"/>
    <col min="11" max="11" width="21" customWidth="1"/>
    <col min="12" max="12" width="25.54296875" customWidth="1"/>
  </cols>
  <sheetData>
    <row r="1" spans="1:12" ht="18.5" x14ac:dyDescent="0.45">
      <c r="A1" s="127" t="s">
        <v>0</v>
      </c>
    </row>
    <row r="2" spans="1:12" x14ac:dyDescent="0.35">
      <c r="A2" s="89" t="s">
        <v>1</v>
      </c>
      <c r="B2" s="5"/>
      <c r="C2" s="6" t="s">
        <v>2</v>
      </c>
      <c r="D2" s="6" t="s">
        <v>3</v>
      </c>
      <c r="E2" s="7" t="s">
        <v>4</v>
      </c>
      <c r="F2" s="6" t="s">
        <v>5</v>
      </c>
      <c r="G2" s="6" t="s">
        <v>6</v>
      </c>
      <c r="H2" s="8" t="s">
        <v>7</v>
      </c>
      <c r="I2" s="6" t="s">
        <v>8</v>
      </c>
      <c r="J2" s="6" t="s">
        <v>9</v>
      </c>
      <c r="K2" s="6" t="s">
        <v>10</v>
      </c>
      <c r="L2" s="6" t="s">
        <v>11</v>
      </c>
    </row>
    <row r="3" spans="1:12" x14ac:dyDescent="0.35">
      <c r="A3" s="5">
        <v>1</v>
      </c>
      <c r="B3" s="329">
        <v>45962</v>
      </c>
      <c r="C3" s="9" t="s">
        <v>634</v>
      </c>
      <c r="D3" s="9"/>
      <c r="E3" s="10" t="s">
        <v>30</v>
      </c>
      <c r="F3" s="9" t="s">
        <v>13</v>
      </c>
      <c r="G3" s="9" t="s">
        <v>14</v>
      </c>
      <c r="H3" s="11">
        <v>1</v>
      </c>
      <c r="I3" s="5"/>
      <c r="J3" s="5"/>
      <c r="K3" s="5"/>
      <c r="L3" s="5"/>
    </row>
    <row r="4" spans="1:12" ht="29" x14ac:dyDescent="0.35">
      <c r="A4" s="5">
        <v>2</v>
      </c>
      <c r="B4" s="324"/>
      <c r="C4" s="9" t="s">
        <v>635</v>
      </c>
      <c r="D4" s="9"/>
      <c r="E4" s="10" t="s">
        <v>30</v>
      </c>
      <c r="F4" s="9" t="s">
        <v>16</v>
      </c>
      <c r="G4" s="9" t="s">
        <v>29</v>
      </c>
      <c r="H4" s="12" t="s">
        <v>18</v>
      </c>
      <c r="I4" s="5"/>
      <c r="J4" s="5"/>
      <c r="K4" s="5"/>
      <c r="L4" s="5"/>
    </row>
    <row r="5" spans="1:12" ht="29" x14ac:dyDescent="0.35">
      <c r="A5" s="5">
        <v>3</v>
      </c>
      <c r="B5" s="324"/>
      <c r="C5" s="9" t="s">
        <v>636</v>
      </c>
      <c r="D5" s="9"/>
      <c r="E5" s="10" t="s">
        <v>42</v>
      </c>
      <c r="F5" s="9" t="s">
        <v>13</v>
      </c>
      <c r="G5" s="9" t="s">
        <v>37</v>
      </c>
      <c r="H5" s="11">
        <v>1</v>
      </c>
      <c r="I5" s="5"/>
      <c r="J5" s="5"/>
      <c r="K5" s="5"/>
      <c r="L5" s="5"/>
    </row>
    <row r="6" spans="1:12" ht="29" x14ac:dyDescent="0.35">
      <c r="A6" s="5">
        <v>4</v>
      </c>
      <c r="B6" s="324"/>
      <c r="C6" s="9" t="s">
        <v>637</v>
      </c>
      <c r="D6" s="9"/>
      <c r="E6" s="10" t="s">
        <v>35</v>
      </c>
      <c r="F6" s="9" t="s">
        <v>13</v>
      </c>
      <c r="G6" s="9" t="s">
        <v>16</v>
      </c>
      <c r="H6" s="12" t="s">
        <v>22</v>
      </c>
      <c r="I6" s="14" t="s">
        <v>23</v>
      </c>
      <c r="J6" s="5"/>
      <c r="K6" s="5"/>
      <c r="L6" s="5"/>
    </row>
    <row r="7" spans="1:12" ht="29" x14ac:dyDescent="0.35">
      <c r="A7" s="5">
        <v>5</v>
      </c>
      <c r="B7" s="324"/>
      <c r="C7" s="9" t="s">
        <v>638</v>
      </c>
      <c r="D7" s="9"/>
      <c r="E7" s="10" t="s">
        <v>39</v>
      </c>
      <c r="F7" s="9" t="s">
        <v>25</v>
      </c>
      <c r="G7" s="9" t="s">
        <v>17</v>
      </c>
      <c r="H7" s="12" t="s">
        <v>27</v>
      </c>
      <c r="I7" s="14" t="s">
        <v>28</v>
      </c>
      <c r="J7" s="5"/>
      <c r="K7" s="5"/>
      <c r="L7" s="5"/>
    </row>
    <row r="8" spans="1:12" ht="29" x14ac:dyDescent="0.35">
      <c r="A8" s="5">
        <v>6</v>
      </c>
      <c r="B8" s="324"/>
      <c r="C8" s="9" t="s">
        <v>639</v>
      </c>
      <c r="D8" s="9"/>
      <c r="E8" s="10" t="s">
        <v>42</v>
      </c>
      <c r="F8" s="9" t="s">
        <v>25</v>
      </c>
      <c r="G8" s="9" t="s">
        <v>14</v>
      </c>
      <c r="H8" s="11">
        <v>1</v>
      </c>
      <c r="I8" s="5"/>
      <c r="J8" s="5"/>
      <c r="K8" s="5"/>
      <c r="L8" s="5"/>
    </row>
    <row r="9" spans="1:12" ht="29" x14ac:dyDescent="0.35">
      <c r="A9" s="5">
        <v>7</v>
      </c>
      <c r="B9" s="324"/>
      <c r="C9" s="9" t="s">
        <v>640</v>
      </c>
      <c r="D9" s="9"/>
      <c r="E9" s="10" t="s">
        <v>24</v>
      </c>
      <c r="F9" s="9" t="s">
        <v>31</v>
      </c>
      <c r="G9" s="9" t="s">
        <v>26</v>
      </c>
      <c r="H9" s="12" t="s">
        <v>32</v>
      </c>
      <c r="I9" s="14" t="s">
        <v>33</v>
      </c>
      <c r="J9" s="14" t="s">
        <v>33</v>
      </c>
      <c r="K9" s="5"/>
      <c r="L9" s="5"/>
    </row>
    <row r="10" spans="1:12" ht="29" x14ac:dyDescent="0.35">
      <c r="A10" s="5">
        <v>8</v>
      </c>
      <c r="B10" s="324"/>
      <c r="C10" s="9" t="s">
        <v>641</v>
      </c>
      <c r="D10" s="9"/>
      <c r="E10" s="10" t="s">
        <v>30</v>
      </c>
      <c r="F10" s="9" t="s">
        <v>31</v>
      </c>
      <c r="G10" s="9" t="s">
        <v>26</v>
      </c>
      <c r="H10" s="12" t="s">
        <v>32</v>
      </c>
      <c r="I10" s="5"/>
      <c r="J10" s="5"/>
      <c r="K10" s="5"/>
      <c r="L10" s="5"/>
    </row>
    <row r="11" spans="1:12" x14ac:dyDescent="0.35">
      <c r="A11" s="5">
        <v>9</v>
      </c>
      <c r="B11" s="324"/>
      <c r="C11" s="9" t="s">
        <v>642</v>
      </c>
      <c r="D11" s="9"/>
      <c r="E11" s="108" t="s">
        <v>49</v>
      </c>
      <c r="F11" s="9" t="s">
        <v>13</v>
      </c>
      <c r="G11" s="9" t="s">
        <v>29</v>
      </c>
      <c r="H11" s="11">
        <v>1</v>
      </c>
      <c r="I11" s="14" t="s">
        <v>23</v>
      </c>
      <c r="J11" s="5"/>
      <c r="K11" s="5"/>
      <c r="L11" s="5"/>
    </row>
    <row r="12" spans="1:12" ht="29" x14ac:dyDescent="0.35">
      <c r="A12" s="5">
        <v>10</v>
      </c>
      <c r="B12" s="324"/>
      <c r="C12" s="9" t="s">
        <v>643</v>
      </c>
      <c r="D12" s="9"/>
      <c r="E12" s="10" t="s">
        <v>30</v>
      </c>
      <c r="F12" s="9" t="s">
        <v>13</v>
      </c>
      <c r="G12" s="9" t="s">
        <v>37</v>
      </c>
      <c r="H12" s="11">
        <v>1</v>
      </c>
      <c r="I12" s="14" t="s">
        <v>28</v>
      </c>
      <c r="J12" s="5"/>
      <c r="K12" s="5"/>
      <c r="L12" s="5"/>
    </row>
    <row r="13" spans="1:12" ht="29" x14ac:dyDescent="0.35">
      <c r="A13" s="5">
        <v>11</v>
      </c>
      <c r="B13" s="324"/>
      <c r="C13" s="9" t="s">
        <v>644</v>
      </c>
      <c r="D13" s="9"/>
      <c r="E13" s="10" t="s">
        <v>15</v>
      </c>
      <c r="F13" s="9" t="s">
        <v>31</v>
      </c>
      <c r="G13" s="9" t="s">
        <v>46</v>
      </c>
      <c r="H13" s="12" t="s">
        <v>18</v>
      </c>
      <c r="I13" s="5"/>
      <c r="J13" s="5"/>
      <c r="K13" s="5"/>
      <c r="L13" s="5"/>
    </row>
    <row r="14" spans="1:12" ht="29" x14ac:dyDescent="0.35">
      <c r="A14" s="5">
        <v>12</v>
      </c>
      <c r="B14" s="324"/>
      <c r="C14" s="9" t="s">
        <v>645</v>
      </c>
      <c r="D14" s="9"/>
      <c r="E14" s="10" t="s">
        <v>36</v>
      </c>
      <c r="F14" s="9" t="s">
        <v>31</v>
      </c>
      <c r="G14" s="9" t="s">
        <v>47</v>
      </c>
      <c r="H14" s="11">
        <v>1</v>
      </c>
      <c r="I14" s="14" t="s">
        <v>33</v>
      </c>
      <c r="J14" s="5"/>
      <c r="K14" s="5"/>
      <c r="L14" s="5"/>
    </row>
    <row r="15" spans="1:12" ht="29" x14ac:dyDescent="0.35">
      <c r="A15" s="5">
        <v>13</v>
      </c>
      <c r="B15" s="324"/>
      <c r="C15" s="9" t="s">
        <v>646</v>
      </c>
      <c r="D15" s="9"/>
      <c r="E15" s="10" t="s">
        <v>30</v>
      </c>
      <c r="F15" s="9" t="s">
        <v>13</v>
      </c>
      <c r="G15" s="9" t="s">
        <v>29</v>
      </c>
      <c r="H15" s="12" t="s">
        <v>22</v>
      </c>
      <c r="I15" s="5"/>
      <c r="J15" s="5"/>
      <c r="K15" s="5"/>
      <c r="L15" s="5"/>
    </row>
    <row r="16" spans="1:12" ht="29" x14ac:dyDescent="0.35">
      <c r="A16" s="5">
        <v>14</v>
      </c>
      <c r="B16" s="324"/>
      <c r="C16" s="9" t="s">
        <v>647</v>
      </c>
      <c r="D16" s="9"/>
      <c r="E16" s="10" t="s">
        <v>34</v>
      </c>
      <c r="F16" s="9" t="s">
        <v>13</v>
      </c>
      <c r="G16" s="9" t="s">
        <v>29</v>
      </c>
      <c r="H16" s="12" t="s">
        <v>27</v>
      </c>
      <c r="I16" s="14" t="s">
        <v>23</v>
      </c>
      <c r="J16" s="5"/>
      <c r="K16" s="5"/>
      <c r="L16" s="5"/>
    </row>
    <row r="17" spans="1:12" ht="29" x14ac:dyDescent="0.35">
      <c r="A17" s="5">
        <v>15</v>
      </c>
      <c r="B17" s="324"/>
      <c r="C17" s="9" t="s">
        <v>648</v>
      </c>
      <c r="D17" s="9"/>
      <c r="E17" s="10" t="s">
        <v>39</v>
      </c>
      <c r="F17" s="9" t="s">
        <v>31</v>
      </c>
      <c r="G17" s="9" t="s">
        <v>16</v>
      </c>
      <c r="H17" s="12" t="s">
        <v>32</v>
      </c>
      <c r="I17" s="5"/>
      <c r="J17" s="5"/>
      <c r="K17" s="5"/>
      <c r="L17" s="5"/>
    </row>
    <row r="18" spans="1:12" ht="29" x14ac:dyDescent="0.35">
      <c r="A18" s="5">
        <v>16</v>
      </c>
      <c r="B18" s="324"/>
      <c r="C18" s="9" t="s">
        <v>649</v>
      </c>
      <c r="D18" s="9"/>
      <c r="E18" s="10" t="s">
        <v>39</v>
      </c>
      <c r="F18" s="9" t="s">
        <v>13</v>
      </c>
      <c r="G18" s="9" t="s">
        <v>17</v>
      </c>
      <c r="H18" s="11">
        <v>1</v>
      </c>
      <c r="I18" s="5"/>
      <c r="J18" s="5"/>
      <c r="K18" s="5"/>
      <c r="L18" s="5"/>
    </row>
    <row r="19" spans="1:12" x14ac:dyDescent="0.35">
      <c r="A19" s="5">
        <v>17</v>
      </c>
      <c r="B19" s="324"/>
      <c r="C19" s="9" t="s">
        <v>650</v>
      </c>
      <c r="D19" s="9"/>
      <c r="E19" s="10" t="s">
        <v>12</v>
      </c>
      <c r="F19" s="9" t="s">
        <v>16</v>
      </c>
      <c r="G19" s="9" t="s">
        <v>16</v>
      </c>
      <c r="H19" s="12" t="s">
        <v>27</v>
      </c>
      <c r="I19" s="14" t="s">
        <v>23</v>
      </c>
      <c r="J19" s="5"/>
      <c r="K19" s="5"/>
      <c r="L19" s="5"/>
    </row>
    <row r="20" spans="1:12" ht="29" x14ac:dyDescent="0.35">
      <c r="A20" s="5">
        <v>18</v>
      </c>
      <c r="B20" s="324"/>
      <c r="C20" s="9" t="s">
        <v>651</v>
      </c>
      <c r="D20" s="9"/>
      <c r="E20" s="10" t="s">
        <v>42</v>
      </c>
      <c r="F20" s="9" t="s">
        <v>43</v>
      </c>
      <c r="G20" s="9" t="s">
        <v>50</v>
      </c>
      <c r="H20" s="12" t="s">
        <v>22</v>
      </c>
      <c r="I20" s="5"/>
      <c r="J20" s="5"/>
      <c r="K20" s="5"/>
      <c r="L20" s="5"/>
    </row>
    <row r="21" spans="1:12" ht="29" x14ac:dyDescent="0.35">
      <c r="A21" s="5">
        <v>19</v>
      </c>
      <c r="B21" s="324"/>
      <c r="C21" s="9" t="s">
        <v>652</v>
      </c>
      <c r="D21" s="9"/>
      <c r="E21" s="10" t="s">
        <v>30</v>
      </c>
      <c r="F21" s="9" t="s">
        <v>31</v>
      </c>
      <c r="G21" s="9" t="s">
        <v>16</v>
      </c>
      <c r="H21" s="11">
        <v>1</v>
      </c>
      <c r="I21" s="14" t="s">
        <v>33</v>
      </c>
      <c r="J21" s="14" t="s">
        <v>23</v>
      </c>
      <c r="K21" s="5"/>
      <c r="L21" s="5"/>
    </row>
    <row r="22" spans="1:12" x14ac:dyDescent="0.35">
      <c r="A22" s="5">
        <v>20</v>
      </c>
      <c r="B22" s="324"/>
      <c r="C22" s="9" t="s">
        <v>653</v>
      </c>
      <c r="D22" s="9"/>
      <c r="E22" s="10" t="s">
        <v>30</v>
      </c>
      <c r="F22" s="9" t="s">
        <v>13</v>
      </c>
      <c r="G22" s="9" t="s">
        <v>26</v>
      </c>
      <c r="H22" s="12" t="s">
        <v>32</v>
      </c>
      <c r="I22" s="5"/>
      <c r="J22" s="5"/>
      <c r="K22" s="5"/>
      <c r="L22" s="5"/>
    </row>
    <row r="23" spans="1:12" ht="29" x14ac:dyDescent="0.35">
      <c r="A23" s="5">
        <v>21</v>
      </c>
      <c r="B23" s="324"/>
      <c r="C23" s="9" t="s">
        <v>654</v>
      </c>
      <c r="D23" s="9"/>
      <c r="E23" s="10" t="s">
        <v>42</v>
      </c>
      <c r="F23" s="9" t="s">
        <v>47</v>
      </c>
      <c r="G23" s="107" t="s">
        <v>44</v>
      </c>
      <c r="H23" s="12" t="s">
        <v>18</v>
      </c>
      <c r="I23" s="14" t="s">
        <v>23</v>
      </c>
      <c r="J23" s="14" t="s">
        <v>23</v>
      </c>
      <c r="K23" s="5"/>
      <c r="L23" s="5"/>
    </row>
    <row r="24" spans="1:12" ht="43.5" x14ac:dyDescent="0.35">
      <c r="A24" s="5">
        <v>22</v>
      </c>
      <c r="B24" s="324"/>
      <c r="C24" s="9" t="s">
        <v>655</v>
      </c>
      <c r="D24" s="9"/>
      <c r="E24" s="10" t="s">
        <v>35</v>
      </c>
      <c r="F24" s="9" t="s">
        <v>48</v>
      </c>
      <c r="G24" s="9" t="s">
        <v>26</v>
      </c>
      <c r="H24" s="12" t="s">
        <v>32</v>
      </c>
      <c r="I24" s="5"/>
      <c r="J24" s="5"/>
      <c r="K24" s="5"/>
      <c r="L24" s="5"/>
    </row>
    <row r="25" spans="1:12" x14ac:dyDescent="0.35">
      <c r="A25" s="5">
        <v>23</v>
      </c>
      <c r="B25" s="324"/>
      <c r="C25" s="9" t="s">
        <v>656</v>
      </c>
      <c r="D25" s="13"/>
      <c r="E25" s="10" t="s">
        <v>39</v>
      </c>
      <c r="F25" s="9" t="s">
        <v>13</v>
      </c>
      <c r="G25" s="9" t="s">
        <v>29</v>
      </c>
      <c r="H25" s="11">
        <v>1</v>
      </c>
      <c r="I25" s="5"/>
      <c r="J25" s="5"/>
      <c r="K25" s="5"/>
      <c r="L25" s="5"/>
    </row>
    <row r="26" spans="1:12" ht="29" x14ac:dyDescent="0.35">
      <c r="A26" s="5">
        <v>24</v>
      </c>
      <c r="B26" s="324"/>
      <c r="C26" s="9" t="s">
        <v>657</v>
      </c>
      <c r="D26" s="9"/>
      <c r="E26" s="10" t="s">
        <v>42</v>
      </c>
      <c r="F26" s="9" t="s">
        <v>31</v>
      </c>
      <c r="G26" s="9" t="s">
        <v>16</v>
      </c>
      <c r="H26" s="12" t="s">
        <v>27</v>
      </c>
      <c r="I26" s="14" t="s">
        <v>23</v>
      </c>
      <c r="J26" s="5"/>
      <c r="K26" s="5"/>
      <c r="L26" s="5"/>
    </row>
    <row r="27" spans="1:12" ht="29" x14ac:dyDescent="0.35">
      <c r="A27" s="5">
        <v>25</v>
      </c>
      <c r="B27" s="324"/>
      <c r="C27" s="9" t="s">
        <v>658</v>
      </c>
      <c r="D27" s="9"/>
      <c r="E27" s="10" t="s">
        <v>24</v>
      </c>
      <c r="F27" s="9" t="s">
        <v>13</v>
      </c>
      <c r="G27" s="9" t="s">
        <v>17</v>
      </c>
      <c r="H27" s="12" t="s">
        <v>22</v>
      </c>
      <c r="I27" s="14" t="s">
        <v>23</v>
      </c>
      <c r="J27" s="5"/>
      <c r="K27" s="5"/>
      <c r="L27" s="5"/>
    </row>
    <row r="28" spans="1:12" x14ac:dyDescent="0.35">
      <c r="A28" s="5">
        <v>26</v>
      </c>
      <c r="B28" s="324"/>
      <c r="C28" s="9" t="s">
        <v>659</v>
      </c>
      <c r="D28" s="9"/>
      <c r="E28" s="10" t="s">
        <v>30</v>
      </c>
      <c r="F28" s="9" t="s">
        <v>13</v>
      </c>
      <c r="G28" s="9" t="s">
        <v>44</v>
      </c>
      <c r="H28" s="11">
        <v>1</v>
      </c>
      <c r="I28" s="5"/>
      <c r="J28" s="5"/>
      <c r="K28" s="5"/>
      <c r="L28" s="5"/>
    </row>
    <row r="29" spans="1:12" ht="43.5" x14ac:dyDescent="0.35">
      <c r="A29" s="5">
        <v>27</v>
      </c>
      <c r="B29" s="324"/>
      <c r="C29" s="9" t="s">
        <v>660</v>
      </c>
      <c r="D29" s="9"/>
      <c r="E29" s="108" t="s">
        <v>49</v>
      </c>
      <c r="F29" s="9" t="s">
        <v>48</v>
      </c>
      <c r="G29" s="9" t="s">
        <v>50</v>
      </c>
      <c r="H29" s="12" t="s">
        <v>32</v>
      </c>
      <c r="I29" s="14" t="s">
        <v>51</v>
      </c>
      <c r="J29" s="5"/>
      <c r="K29" s="5"/>
      <c r="L29" s="5"/>
    </row>
    <row r="30" spans="1:12" ht="29" x14ac:dyDescent="0.35">
      <c r="A30" s="5">
        <v>28</v>
      </c>
      <c r="B30" s="324"/>
      <c r="C30" s="9" t="s">
        <v>661</v>
      </c>
      <c r="D30" s="9"/>
      <c r="E30" s="10" t="s">
        <v>30</v>
      </c>
      <c r="F30" s="9" t="s">
        <v>31</v>
      </c>
      <c r="G30" s="9" t="s">
        <v>16</v>
      </c>
      <c r="H30" s="12" t="s">
        <v>18</v>
      </c>
      <c r="I30" s="5"/>
      <c r="J30" s="5"/>
      <c r="K30" s="5"/>
      <c r="L30" s="5"/>
    </row>
    <row r="31" spans="1:12" ht="29" x14ac:dyDescent="0.35">
      <c r="A31" s="5">
        <v>29</v>
      </c>
      <c r="B31" s="324"/>
      <c r="C31" s="9" t="s">
        <v>662</v>
      </c>
      <c r="D31" s="9"/>
      <c r="E31" s="10" t="s">
        <v>45</v>
      </c>
      <c r="F31" s="9" t="s">
        <v>25</v>
      </c>
      <c r="G31" s="9" t="s">
        <v>26</v>
      </c>
      <c r="H31" s="11">
        <v>1</v>
      </c>
      <c r="I31" s="14" t="s">
        <v>23</v>
      </c>
      <c r="J31" s="5"/>
      <c r="K31" s="5"/>
      <c r="L31" s="5"/>
    </row>
    <row r="32" spans="1:12" x14ac:dyDescent="0.35">
      <c r="A32" s="116">
        <v>30</v>
      </c>
      <c r="B32" s="324"/>
      <c r="C32" s="107" t="s">
        <v>663</v>
      </c>
      <c r="D32" s="107"/>
      <c r="E32" s="108" t="s">
        <v>42</v>
      </c>
      <c r="F32" s="107" t="s">
        <v>13</v>
      </c>
      <c r="G32" s="107" t="s">
        <v>44</v>
      </c>
      <c r="H32" s="115">
        <v>1</v>
      </c>
      <c r="I32" s="110" t="s">
        <v>23</v>
      </c>
      <c r="J32" s="116"/>
      <c r="K32" s="5"/>
      <c r="L32" s="5"/>
    </row>
    <row r="33" spans="1:12" ht="44" thickBot="1" x14ac:dyDescent="0.4">
      <c r="A33" s="225">
        <v>31</v>
      </c>
      <c r="B33" s="330"/>
      <c r="C33" s="119" t="s">
        <v>664</v>
      </c>
      <c r="D33" s="119"/>
      <c r="E33" s="120" t="s">
        <v>15</v>
      </c>
      <c r="F33" s="119" t="s">
        <v>48</v>
      </c>
      <c r="G33" s="119" t="s">
        <v>26</v>
      </c>
      <c r="H33" s="121" t="s">
        <v>22</v>
      </c>
      <c r="I33" s="122" t="s">
        <v>23</v>
      </c>
      <c r="J33" s="122" t="s">
        <v>23</v>
      </c>
      <c r="K33" s="225"/>
      <c r="L33" s="225"/>
    </row>
    <row r="34" spans="1:12" ht="29.5" thickTop="1" x14ac:dyDescent="0.35">
      <c r="A34" s="114">
        <v>32</v>
      </c>
      <c r="B34" s="333">
        <v>45992</v>
      </c>
      <c r="C34" s="111" t="s">
        <v>665</v>
      </c>
      <c r="D34" s="111"/>
      <c r="E34" s="112" t="s">
        <v>42</v>
      </c>
      <c r="F34" s="111" t="s">
        <v>13</v>
      </c>
      <c r="G34" s="111" t="s">
        <v>52</v>
      </c>
      <c r="H34" s="118">
        <v>1</v>
      </c>
      <c r="I34" s="117" t="s">
        <v>23</v>
      </c>
      <c r="J34" s="117" t="s">
        <v>23</v>
      </c>
      <c r="K34" s="114"/>
      <c r="L34" s="114"/>
    </row>
    <row r="35" spans="1:12" ht="29" x14ac:dyDescent="0.35">
      <c r="A35" s="5">
        <v>33</v>
      </c>
      <c r="B35" s="324"/>
      <c r="C35" s="9" t="s">
        <v>666</v>
      </c>
      <c r="D35" s="9"/>
      <c r="E35" s="10" t="s">
        <v>24</v>
      </c>
      <c r="F35" s="9" t="s">
        <v>13</v>
      </c>
      <c r="G35" s="9" t="s">
        <v>54</v>
      </c>
      <c r="H35" s="12" t="s">
        <v>32</v>
      </c>
      <c r="I35" s="5"/>
      <c r="J35" s="5"/>
      <c r="K35" s="5"/>
      <c r="L35" s="5"/>
    </row>
    <row r="36" spans="1:12" ht="29" x14ac:dyDescent="0.35">
      <c r="A36" s="5">
        <v>34</v>
      </c>
      <c r="B36" s="324"/>
      <c r="C36" s="9" t="s">
        <v>667</v>
      </c>
      <c r="D36" s="9"/>
      <c r="E36" s="10" t="s">
        <v>39</v>
      </c>
      <c r="F36" s="9" t="s">
        <v>31</v>
      </c>
      <c r="G36" s="9" t="s">
        <v>16</v>
      </c>
      <c r="H36" s="11">
        <v>1</v>
      </c>
      <c r="I36" s="5"/>
      <c r="J36" s="5"/>
      <c r="K36" s="5"/>
      <c r="L36" s="5"/>
    </row>
    <row r="37" spans="1:12" ht="29" x14ac:dyDescent="0.35">
      <c r="A37" s="5">
        <v>35</v>
      </c>
      <c r="B37" s="324"/>
      <c r="C37" s="9" t="s">
        <v>668</v>
      </c>
      <c r="D37" s="9"/>
      <c r="E37" s="10" t="s">
        <v>49</v>
      </c>
      <c r="F37" s="9" t="s">
        <v>31</v>
      </c>
      <c r="G37" s="9" t="s">
        <v>16</v>
      </c>
      <c r="H37" s="12" t="s">
        <v>27</v>
      </c>
      <c r="I37" s="14" t="s">
        <v>33</v>
      </c>
      <c r="J37" s="5"/>
      <c r="K37" s="5"/>
      <c r="L37" s="5"/>
    </row>
    <row r="38" spans="1:12" ht="29" x14ac:dyDescent="0.35">
      <c r="A38" s="5">
        <v>36</v>
      </c>
      <c r="B38" s="324"/>
      <c r="C38" s="9" t="s">
        <v>669</v>
      </c>
      <c r="D38" s="9"/>
      <c r="E38" s="10" t="s">
        <v>30</v>
      </c>
      <c r="F38" s="9" t="s">
        <v>31</v>
      </c>
      <c r="G38" s="9" t="s">
        <v>26</v>
      </c>
      <c r="H38" s="12" t="s">
        <v>22</v>
      </c>
      <c r="I38" s="5"/>
      <c r="J38" s="14" t="s">
        <v>28</v>
      </c>
      <c r="K38" s="5"/>
      <c r="L38" s="5"/>
    </row>
    <row r="39" spans="1:12" ht="29" x14ac:dyDescent="0.35">
      <c r="A39" s="5">
        <v>37</v>
      </c>
      <c r="B39" s="324"/>
      <c r="C39" s="9" t="s">
        <v>670</v>
      </c>
      <c r="D39" s="9"/>
      <c r="E39" s="10" t="s">
        <v>30</v>
      </c>
      <c r="F39" s="9" t="s">
        <v>31</v>
      </c>
      <c r="G39" s="9" t="s">
        <v>54</v>
      </c>
      <c r="H39" s="11">
        <v>1</v>
      </c>
      <c r="I39" s="14" t="s">
        <v>23</v>
      </c>
      <c r="J39" s="5"/>
      <c r="K39" s="5"/>
      <c r="L39" s="5"/>
    </row>
    <row r="40" spans="1:12" ht="29" x14ac:dyDescent="0.35">
      <c r="A40" s="5">
        <v>38</v>
      </c>
      <c r="B40" s="324"/>
      <c r="C40" s="9" t="s">
        <v>671</v>
      </c>
      <c r="D40" s="9"/>
      <c r="E40" s="10" t="s">
        <v>15</v>
      </c>
      <c r="F40" s="9" t="s">
        <v>25</v>
      </c>
      <c r="G40" s="9" t="s">
        <v>16</v>
      </c>
      <c r="H40" s="12" t="s">
        <v>32</v>
      </c>
      <c r="I40" s="5"/>
      <c r="J40" s="5"/>
      <c r="K40" s="5"/>
      <c r="L40" s="5"/>
    </row>
    <row r="41" spans="1:12" ht="29" x14ac:dyDescent="0.35">
      <c r="A41" s="5">
        <v>39</v>
      </c>
      <c r="B41" s="324"/>
      <c r="C41" s="9" t="s">
        <v>672</v>
      </c>
      <c r="D41" s="9"/>
      <c r="E41" s="10" t="s">
        <v>12</v>
      </c>
      <c r="F41" s="9" t="s">
        <v>13</v>
      </c>
      <c r="G41" s="9" t="s">
        <v>16</v>
      </c>
      <c r="H41" s="12" t="s">
        <v>18</v>
      </c>
      <c r="I41" s="5"/>
      <c r="J41" s="5"/>
      <c r="K41" s="5"/>
      <c r="L41" s="5"/>
    </row>
    <row r="42" spans="1:12" ht="43.5" x14ac:dyDescent="0.35">
      <c r="A42" s="5">
        <v>40</v>
      </c>
      <c r="B42" s="324"/>
      <c r="C42" s="9" t="s">
        <v>673</v>
      </c>
      <c r="D42" s="9"/>
      <c r="E42" s="10" t="s">
        <v>30</v>
      </c>
      <c r="F42" s="9" t="s">
        <v>48</v>
      </c>
      <c r="G42" s="9" t="s">
        <v>26</v>
      </c>
      <c r="H42" s="12" t="s">
        <v>22</v>
      </c>
      <c r="I42" s="14" t="s">
        <v>23</v>
      </c>
      <c r="J42" s="5"/>
      <c r="K42" s="5"/>
      <c r="L42" s="5"/>
    </row>
    <row r="43" spans="1:12" ht="29" x14ac:dyDescent="0.35">
      <c r="A43" s="5">
        <v>41</v>
      </c>
      <c r="B43" s="324"/>
      <c r="C43" s="9" t="s">
        <v>674</v>
      </c>
      <c r="D43" s="9"/>
      <c r="E43" s="10" t="s">
        <v>55</v>
      </c>
      <c r="F43" s="9" t="s">
        <v>13</v>
      </c>
      <c r="G43" s="9" t="s">
        <v>40</v>
      </c>
      <c r="H43" s="12" t="s">
        <v>22</v>
      </c>
      <c r="I43" s="5"/>
      <c r="J43" s="5"/>
      <c r="K43" s="5"/>
      <c r="L43" s="5"/>
    </row>
    <row r="44" spans="1:12" ht="15" thickBot="1" x14ac:dyDescent="0.4">
      <c r="A44" s="116">
        <v>42</v>
      </c>
      <c r="B44" s="324"/>
      <c r="C44" s="107" t="s">
        <v>675</v>
      </c>
      <c r="D44" s="107"/>
      <c r="E44" s="108" t="s">
        <v>30</v>
      </c>
      <c r="F44" s="107" t="s">
        <v>13</v>
      </c>
      <c r="G44" s="107" t="s">
        <v>56</v>
      </c>
      <c r="H44" s="109" t="s">
        <v>57</v>
      </c>
      <c r="I44" s="110" t="s">
        <v>23</v>
      </c>
      <c r="J44" s="110" t="s">
        <v>23</v>
      </c>
      <c r="K44" s="116"/>
      <c r="L44" s="116"/>
    </row>
    <row r="45" spans="1:12" ht="44" thickTop="1" x14ac:dyDescent="0.35">
      <c r="A45" s="114">
        <v>43</v>
      </c>
      <c r="B45" s="333">
        <v>46023</v>
      </c>
      <c r="C45" s="111" t="s">
        <v>676</v>
      </c>
      <c r="D45" s="111"/>
      <c r="E45" s="112" t="s">
        <v>39</v>
      </c>
      <c r="F45" s="111" t="s">
        <v>13</v>
      </c>
      <c r="G45" s="111" t="s">
        <v>58</v>
      </c>
      <c r="H45" s="113">
        <v>1</v>
      </c>
      <c r="I45" s="110" t="s">
        <v>59</v>
      </c>
      <c r="J45" s="114"/>
      <c r="K45" s="114"/>
      <c r="L45" s="114"/>
    </row>
    <row r="46" spans="1:12" ht="29" x14ac:dyDescent="0.35">
      <c r="A46" s="5">
        <v>44</v>
      </c>
      <c r="B46" s="334"/>
      <c r="C46" s="9" t="s">
        <v>677</v>
      </c>
      <c r="D46" s="9"/>
      <c r="E46" s="10" t="s">
        <v>45</v>
      </c>
      <c r="F46" s="9" t="s">
        <v>13</v>
      </c>
      <c r="G46" s="9" t="s">
        <v>40</v>
      </c>
      <c r="H46" s="12" t="s">
        <v>22</v>
      </c>
      <c r="I46" s="5"/>
      <c r="J46" s="5"/>
      <c r="K46" s="5"/>
      <c r="L46" s="5"/>
    </row>
    <row r="47" spans="1:12" ht="29" x14ac:dyDescent="0.35">
      <c r="A47" s="5">
        <v>45</v>
      </c>
      <c r="B47" s="334"/>
      <c r="C47" s="9" t="s">
        <v>678</v>
      </c>
      <c r="D47" s="9"/>
      <c r="E47" s="10" t="s">
        <v>24</v>
      </c>
      <c r="F47" s="9" t="s">
        <v>31</v>
      </c>
      <c r="G47" s="9" t="s">
        <v>16</v>
      </c>
      <c r="H47" s="12" t="s">
        <v>32</v>
      </c>
      <c r="I47" s="14" t="s">
        <v>33</v>
      </c>
      <c r="J47" s="14" t="s">
        <v>23</v>
      </c>
      <c r="K47" s="5"/>
      <c r="L47" s="5"/>
    </row>
    <row r="48" spans="1:12" x14ac:dyDescent="0.35">
      <c r="A48" s="5">
        <v>46</v>
      </c>
      <c r="B48" s="334"/>
      <c r="C48" s="9" t="s">
        <v>679</v>
      </c>
      <c r="D48" s="9"/>
      <c r="E48" s="10" t="s">
        <v>15</v>
      </c>
      <c r="F48" s="9" t="s">
        <v>13</v>
      </c>
      <c r="G48" s="9" t="s">
        <v>60</v>
      </c>
      <c r="H48" s="12" t="s">
        <v>27</v>
      </c>
      <c r="I48" s="5"/>
      <c r="J48" s="5"/>
      <c r="K48" s="5"/>
      <c r="L48" s="5"/>
    </row>
    <row r="49" spans="1:12" ht="29" x14ac:dyDescent="0.35">
      <c r="A49" s="5">
        <v>47</v>
      </c>
      <c r="B49" s="334"/>
      <c r="C49" s="9" t="s">
        <v>680</v>
      </c>
      <c r="D49" s="9"/>
      <c r="E49" s="10" t="s">
        <v>49</v>
      </c>
      <c r="F49" s="9" t="s">
        <v>25</v>
      </c>
      <c r="G49" s="9" t="s">
        <v>17</v>
      </c>
      <c r="H49" s="11">
        <v>1</v>
      </c>
      <c r="I49" s="14" t="s">
        <v>23</v>
      </c>
      <c r="J49" s="5"/>
      <c r="K49" s="5"/>
      <c r="L49" s="5"/>
    </row>
    <row r="50" spans="1:12" ht="29" x14ac:dyDescent="0.35">
      <c r="A50" s="5">
        <v>48</v>
      </c>
      <c r="B50" s="334"/>
      <c r="C50" s="9" t="s">
        <v>681</v>
      </c>
      <c r="D50" s="9"/>
      <c r="E50" s="10" t="s">
        <v>38</v>
      </c>
      <c r="F50" s="9" t="s">
        <v>31</v>
      </c>
      <c r="G50" s="9" t="s">
        <v>26</v>
      </c>
      <c r="H50" s="12">
        <v>1</v>
      </c>
      <c r="I50" s="5"/>
      <c r="J50" s="5"/>
      <c r="K50" s="5"/>
      <c r="L50" s="5"/>
    </row>
    <row r="51" spans="1:12" ht="29" x14ac:dyDescent="0.35">
      <c r="A51" s="5">
        <v>49</v>
      </c>
      <c r="B51" s="334"/>
      <c r="C51" s="9" t="s">
        <v>682</v>
      </c>
      <c r="D51" s="9"/>
      <c r="E51" s="10" t="s">
        <v>38</v>
      </c>
      <c r="F51" s="9" t="s">
        <v>16</v>
      </c>
      <c r="G51" s="9" t="s">
        <v>29</v>
      </c>
      <c r="H51" s="12" t="s">
        <v>22</v>
      </c>
      <c r="I51" s="5"/>
      <c r="J51" s="5"/>
      <c r="K51" s="5"/>
      <c r="L51" s="5"/>
    </row>
    <row r="52" spans="1:12" ht="29" x14ac:dyDescent="0.35">
      <c r="A52" s="5">
        <v>50</v>
      </c>
      <c r="B52" s="334"/>
      <c r="C52" s="9" t="s">
        <v>683</v>
      </c>
      <c r="D52" s="9"/>
      <c r="E52" s="10" t="s">
        <v>39</v>
      </c>
      <c r="F52" s="9" t="s">
        <v>31</v>
      </c>
      <c r="G52" s="9" t="s">
        <v>26</v>
      </c>
      <c r="H52" s="12" t="s">
        <v>32</v>
      </c>
      <c r="I52" s="105" t="s">
        <v>23</v>
      </c>
      <c r="J52" s="5"/>
      <c r="K52" s="5"/>
      <c r="L52" s="5"/>
    </row>
    <row r="53" spans="1:12" ht="29" x14ac:dyDescent="0.35">
      <c r="A53" s="5">
        <v>51</v>
      </c>
      <c r="B53" s="334"/>
      <c r="C53" s="9" t="s">
        <v>684</v>
      </c>
      <c r="D53" s="9"/>
      <c r="E53" s="10" t="s">
        <v>38</v>
      </c>
      <c r="F53" s="9" t="s">
        <v>31</v>
      </c>
      <c r="G53" s="9" t="s">
        <v>16</v>
      </c>
      <c r="H53" s="12" t="s">
        <v>27</v>
      </c>
      <c r="I53" s="5"/>
      <c r="J53" s="5"/>
      <c r="K53" s="5"/>
      <c r="L53" s="5"/>
    </row>
    <row r="54" spans="1:12" x14ac:dyDescent="0.35">
      <c r="A54" s="5">
        <v>52</v>
      </c>
      <c r="B54" s="334"/>
      <c r="C54" s="9" t="s">
        <v>685</v>
      </c>
      <c r="D54" s="9"/>
      <c r="E54" s="10" t="s">
        <v>49</v>
      </c>
      <c r="F54" s="9" t="s">
        <v>13</v>
      </c>
      <c r="G54" s="9" t="s">
        <v>29</v>
      </c>
      <c r="H54" s="12" t="s">
        <v>27</v>
      </c>
      <c r="I54" s="105" t="s">
        <v>23</v>
      </c>
      <c r="J54" s="5"/>
      <c r="K54" s="5"/>
      <c r="L54" s="5"/>
    </row>
    <row r="55" spans="1:12" x14ac:dyDescent="0.35">
      <c r="A55" s="5">
        <v>53</v>
      </c>
      <c r="B55" s="334"/>
      <c r="C55" s="9" t="s">
        <v>686</v>
      </c>
      <c r="D55" s="9"/>
      <c r="E55" s="10" t="s">
        <v>12</v>
      </c>
      <c r="F55" s="9" t="s">
        <v>13</v>
      </c>
      <c r="G55" s="9" t="s">
        <v>61</v>
      </c>
      <c r="H55" s="11">
        <v>1</v>
      </c>
      <c r="I55" s="105" t="s">
        <v>23</v>
      </c>
      <c r="J55" s="5"/>
      <c r="K55" s="5"/>
      <c r="L55" s="5"/>
    </row>
    <row r="56" spans="1:12" ht="29" x14ac:dyDescent="0.35">
      <c r="A56" s="5">
        <v>54</v>
      </c>
      <c r="B56" s="334"/>
      <c r="C56" s="9" t="s">
        <v>687</v>
      </c>
      <c r="D56" s="9"/>
      <c r="E56" s="10" t="s">
        <v>24</v>
      </c>
      <c r="F56" s="9" t="s">
        <v>25</v>
      </c>
      <c r="G56" s="9" t="s">
        <v>16</v>
      </c>
      <c r="H56" s="12" t="s">
        <v>27</v>
      </c>
      <c r="I56" s="105" t="s">
        <v>62</v>
      </c>
      <c r="J56" s="5"/>
      <c r="K56" s="5"/>
      <c r="L56" s="5"/>
    </row>
    <row r="57" spans="1:12" ht="29" x14ac:dyDescent="0.35">
      <c r="A57" s="5">
        <v>55</v>
      </c>
      <c r="B57" s="334"/>
      <c r="C57" s="9" t="s">
        <v>688</v>
      </c>
      <c r="D57" s="9"/>
      <c r="E57" s="10" t="s">
        <v>38</v>
      </c>
      <c r="F57" s="9" t="s">
        <v>31</v>
      </c>
      <c r="G57" s="9" t="s">
        <v>40</v>
      </c>
      <c r="H57" s="12" t="s">
        <v>32</v>
      </c>
      <c r="I57" s="105" t="s">
        <v>23</v>
      </c>
      <c r="J57" s="5"/>
      <c r="K57" s="5"/>
      <c r="L57" s="5"/>
    </row>
    <row r="58" spans="1:12" ht="29" x14ac:dyDescent="0.35">
      <c r="A58" s="5">
        <v>56</v>
      </c>
      <c r="B58" s="334"/>
      <c r="C58" s="9" t="s">
        <v>689</v>
      </c>
      <c r="D58" s="9"/>
      <c r="E58" s="10" t="s">
        <v>49</v>
      </c>
      <c r="F58" s="9" t="s">
        <v>31</v>
      </c>
      <c r="G58" s="9" t="s">
        <v>16</v>
      </c>
      <c r="H58" s="12" t="s">
        <v>27</v>
      </c>
      <c r="I58" s="105" t="s">
        <v>23</v>
      </c>
      <c r="J58" s="5"/>
      <c r="K58" s="5"/>
      <c r="L58" s="5"/>
    </row>
    <row r="59" spans="1:12" x14ac:dyDescent="0.35">
      <c r="A59" s="5">
        <v>57</v>
      </c>
      <c r="B59" s="334"/>
      <c r="C59" s="9" t="s">
        <v>690</v>
      </c>
      <c r="D59" s="9"/>
      <c r="E59" s="10" t="s">
        <v>35</v>
      </c>
      <c r="F59" s="9" t="s">
        <v>13</v>
      </c>
      <c r="G59" s="9" t="s">
        <v>60</v>
      </c>
      <c r="H59" s="11">
        <v>1</v>
      </c>
      <c r="I59" s="105" t="s">
        <v>23</v>
      </c>
      <c r="J59" s="5"/>
      <c r="K59" s="5"/>
      <c r="L59" s="5"/>
    </row>
    <row r="60" spans="1:12" ht="29" x14ac:dyDescent="0.35">
      <c r="A60" s="5">
        <v>58</v>
      </c>
      <c r="B60" s="334"/>
      <c r="C60" s="9" t="s">
        <v>691</v>
      </c>
      <c r="D60" s="9"/>
      <c r="E60" s="10" t="s">
        <v>38</v>
      </c>
      <c r="F60" s="9" t="s">
        <v>31</v>
      </c>
      <c r="G60" s="9" t="s">
        <v>17</v>
      </c>
      <c r="H60" s="12" t="s">
        <v>32</v>
      </c>
      <c r="I60" s="105" t="s">
        <v>23</v>
      </c>
      <c r="J60" s="5"/>
      <c r="K60" s="5"/>
      <c r="L60" s="5"/>
    </row>
    <row r="61" spans="1:12" x14ac:dyDescent="0.35">
      <c r="A61" s="5">
        <v>59</v>
      </c>
      <c r="B61" s="334"/>
      <c r="C61" s="9" t="s">
        <v>692</v>
      </c>
      <c r="D61" s="9"/>
      <c r="E61" s="10" t="s">
        <v>49</v>
      </c>
      <c r="F61" s="9" t="s">
        <v>13</v>
      </c>
      <c r="G61" s="9" t="s">
        <v>26</v>
      </c>
      <c r="H61" s="11">
        <v>1</v>
      </c>
      <c r="I61" s="105" t="s">
        <v>23</v>
      </c>
      <c r="J61" s="5"/>
      <c r="K61" s="5"/>
      <c r="L61" s="5"/>
    </row>
    <row r="62" spans="1:12" ht="29" x14ac:dyDescent="0.35">
      <c r="A62" s="5">
        <v>60</v>
      </c>
      <c r="B62" s="334"/>
      <c r="C62" s="9" t="s">
        <v>693</v>
      </c>
      <c r="D62" s="9"/>
      <c r="E62" s="10" t="s">
        <v>38</v>
      </c>
      <c r="F62" s="9" t="s">
        <v>31</v>
      </c>
      <c r="G62" s="9" t="s">
        <v>29</v>
      </c>
      <c r="H62" s="12" t="s">
        <v>32</v>
      </c>
      <c r="I62" s="105" t="s">
        <v>23</v>
      </c>
      <c r="J62" s="5"/>
      <c r="K62" s="5"/>
      <c r="L62" s="5"/>
    </row>
    <row r="63" spans="1:12" x14ac:dyDescent="0.35">
      <c r="A63" s="5">
        <v>61</v>
      </c>
      <c r="B63" s="334"/>
      <c r="C63" s="9" t="s">
        <v>694</v>
      </c>
      <c r="D63" s="9"/>
      <c r="E63" s="10" t="s">
        <v>24</v>
      </c>
      <c r="F63" s="9" t="s">
        <v>13</v>
      </c>
      <c r="G63" s="9" t="s">
        <v>26</v>
      </c>
      <c r="H63" s="12" t="s">
        <v>27</v>
      </c>
      <c r="I63" s="105" t="s">
        <v>23</v>
      </c>
      <c r="J63" s="5"/>
      <c r="K63" s="5"/>
      <c r="L63" s="5"/>
    </row>
    <row r="64" spans="1:12" x14ac:dyDescent="0.35">
      <c r="A64" s="5">
        <v>62</v>
      </c>
      <c r="B64" s="334"/>
      <c r="C64" s="9" t="s">
        <v>695</v>
      </c>
      <c r="D64" s="9"/>
      <c r="E64" s="10" t="s">
        <v>49</v>
      </c>
      <c r="F64" s="9" t="s">
        <v>13</v>
      </c>
      <c r="G64" s="9" t="s">
        <v>16</v>
      </c>
      <c r="H64" s="11">
        <v>1</v>
      </c>
      <c r="I64" s="5"/>
      <c r="J64" s="5"/>
      <c r="K64" s="5"/>
      <c r="L64" s="5"/>
    </row>
    <row r="65" spans="1:12" ht="29" x14ac:dyDescent="0.35">
      <c r="A65" s="5">
        <v>63</v>
      </c>
      <c r="B65" s="334"/>
      <c r="C65" s="9" t="s">
        <v>696</v>
      </c>
      <c r="D65" s="9"/>
      <c r="E65" s="10" t="s">
        <v>42</v>
      </c>
      <c r="F65" s="9" t="s">
        <v>25</v>
      </c>
      <c r="G65" s="9" t="s">
        <v>20</v>
      </c>
      <c r="H65" s="12" t="s">
        <v>32</v>
      </c>
      <c r="I65" s="5"/>
      <c r="J65" s="5"/>
      <c r="K65" s="5"/>
      <c r="L65" s="5"/>
    </row>
    <row r="66" spans="1:12" ht="29" x14ac:dyDescent="0.35">
      <c r="A66" s="5">
        <v>64</v>
      </c>
      <c r="B66" s="334"/>
      <c r="C66" s="9" t="s">
        <v>697</v>
      </c>
      <c r="D66" s="9"/>
      <c r="E66" s="10" t="s">
        <v>12</v>
      </c>
      <c r="F66" s="9" t="s">
        <v>25</v>
      </c>
      <c r="G66" s="9" t="s">
        <v>29</v>
      </c>
      <c r="H66" s="12" t="s">
        <v>27</v>
      </c>
      <c r="I66" s="105" t="s">
        <v>23</v>
      </c>
      <c r="J66" s="105" t="s">
        <v>23</v>
      </c>
      <c r="K66" s="5"/>
      <c r="L66" s="5"/>
    </row>
    <row r="67" spans="1:12" ht="29" x14ac:dyDescent="0.35">
      <c r="A67" s="5">
        <v>65</v>
      </c>
      <c r="B67" s="334"/>
      <c r="C67" s="9" t="s">
        <v>698</v>
      </c>
      <c r="D67" s="9"/>
      <c r="E67" s="10" t="s">
        <v>38</v>
      </c>
      <c r="F67" s="9" t="s">
        <v>31</v>
      </c>
      <c r="G67" s="9" t="s">
        <v>26</v>
      </c>
      <c r="H67" s="12" t="s">
        <v>32</v>
      </c>
      <c r="I67" s="105" t="s">
        <v>23</v>
      </c>
      <c r="J67" s="5"/>
      <c r="K67" s="5"/>
      <c r="L67" s="5"/>
    </row>
    <row r="68" spans="1:12" ht="29.5" thickBot="1" x14ac:dyDescent="0.4">
      <c r="A68" s="116">
        <v>66</v>
      </c>
      <c r="B68" s="335"/>
      <c r="C68" s="9" t="s">
        <v>699</v>
      </c>
      <c r="D68" s="119"/>
      <c r="E68" s="120" t="s">
        <v>35</v>
      </c>
      <c r="F68" s="119" t="s">
        <v>25</v>
      </c>
      <c r="G68" s="119" t="s">
        <v>29</v>
      </c>
      <c r="H68" s="226">
        <v>1</v>
      </c>
      <c r="I68" s="224" t="s">
        <v>23</v>
      </c>
      <c r="J68" s="225"/>
      <c r="K68" s="225"/>
      <c r="L68" s="225"/>
    </row>
    <row r="69" spans="1:12" ht="29.5" thickTop="1" x14ac:dyDescent="0.35">
      <c r="A69" s="5">
        <v>67</v>
      </c>
      <c r="B69" s="331">
        <v>46054</v>
      </c>
      <c r="C69" s="111" t="s">
        <v>700</v>
      </c>
      <c r="D69" s="111"/>
      <c r="E69" s="112" t="s">
        <v>39</v>
      </c>
      <c r="F69" s="111" t="s">
        <v>25</v>
      </c>
      <c r="G69" s="111" t="s">
        <v>29</v>
      </c>
      <c r="H69" s="113" t="s">
        <v>57</v>
      </c>
      <c r="I69" s="126" t="s">
        <v>23</v>
      </c>
      <c r="J69" s="114"/>
      <c r="K69" s="114"/>
      <c r="L69" s="114"/>
    </row>
    <row r="70" spans="1:12" x14ac:dyDescent="0.35">
      <c r="A70" s="5">
        <v>68</v>
      </c>
      <c r="B70" s="328"/>
      <c r="C70" s="9" t="s">
        <v>701</v>
      </c>
      <c r="D70" s="9"/>
      <c r="E70" s="10" t="s">
        <v>39</v>
      </c>
      <c r="F70" s="9" t="s">
        <v>16</v>
      </c>
      <c r="G70" s="9" t="s">
        <v>29</v>
      </c>
      <c r="H70" s="12" t="s">
        <v>57</v>
      </c>
      <c r="I70" s="105" t="s">
        <v>23</v>
      </c>
      <c r="J70" s="5"/>
      <c r="K70" s="5"/>
      <c r="L70" s="5"/>
    </row>
    <row r="71" spans="1:12" x14ac:dyDescent="0.35">
      <c r="A71" s="5">
        <v>69</v>
      </c>
      <c r="B71" s="328"/>
      <c r="C71" s="9" t="s">
        <v>702</v>
      </c>
      <c r="D71" s="9"/>
      <c r="E71" s="10" t="s">
        <v>49</v>
      </c>
      <c r="F71" s="9" t="s">
        <v>13</v>
      </c>
      <c r="G71" s="9" t="s">
        <v>64</v>
      </c>
      <c r="H71" s="115">
        <v>1</v>
      </c>
      <c r="I71" s="105" t="s">
        <v>23</v>
      </c>
      <c r="J71" s="5"/>
      <c r="K71" s="5"/>
      <c r="L71" s="5"/>
    </row>
    <row r="72" spans="1:12" ht="29" x14ac:dyDescent="0.35">
      <c r="A72" s="5">
        <v>70</v>
      </c>
      <c r="B72" s="328"/>
      <c r="C72" s="9" t="s">
        <v>703</v>
      </c>
      <c r="D72" s="9"/>
      <c r="E72" s="108" t="s">
        <v>24</v>
      </c>
      <c r="F72" s="9" t="s">
        <v>31</v>
      </c>
      <c r="G72" s="9" t="s">
        <v>20</v>
      </c>
      <c r="H72" s="115">
        <v>1</v>
      </c>
      <c r="I72" s="5"/>
      <c r="J72" s="105" t="s">
        <v>23</v>
      </c>
      <c r="K72" s="5"/>
      <c r="L72" s="5"/>
    </row>
    <row r="73" spans="1:12" ht="29" x14ac:dyDescent="0.35">
      <c r="A73" s="5">
        <v>71</v>
      </c>
      <c r="B73" s="328"/>
      <c r="C73" s="9" t="s">
        <v>704</v>
      </c>
      <c r="D73" s="9"/>
      <c r="E73" s="10" t="s">
        <v>24</v>
      </c>
      <c r="F73" s="9" t="s">
        <v>31</v>
      </c>
      <c r="G73" s="9" t="s">
        <v>26</v>
      </c>
      <c r="H73" s="12" t="s">
        <v>57</v>
      </c>
      <c r="I73" s="105" t="s">
        <v>23</v>
      </c>
      <c r="J73" s="5"/>
      <c r="K73" s="5"/>
      <c r="L73" s="5"/>
    </row>
    <row r="74" spans="1:12" ht="29" x14ac:dyDescent="0.35">
      <c r="A74" s="5">
        <v>72</v>
      </c>
      <c r="B74" s="328"/>
      <c r="C74" s="9" t="s">
        <v>705</v>
      </c>
      <c r="D74" s="9"/>
      <c r="E74" s="10" t="s">
        <v>42</v>
      </c>
      <c r="F74" s="9" t="s">
        <v>31</v>
      </c>
      <c r="G74" s="9" t="s">
        <v>29</v>
      </c>
      <c r="H74" s="12" t="s">
        <v>32</v>
      </c>
      <c r="I74" s="5"/>
      <c r="J74" s="5"/>
      <c r="K74" s="5"/>
      <c r="L74" s="5"/>
    </row>
    <row r="75" spans="1:12" ht="29" x14ac:dyDescent="0.35">
      <c r="A75" s="5">
        <v>73</v>
      </c>
      <c r="B75" s="328"/>
      <c r="C75" s="9" t="s">
        <v>706</v>
      </c>
      <c r="D75" s="9"/>
      <c r="E75" s="10" t="s">
        <v>39</v>
      </c>
      <c r="F75" s="9" t="s">
        <v>25</v>
      </c>
      <c r="G75" s="9" t="s">
        <v>29</v>
      </c>
      <c r="H75" s="12" t="s">
        <v>32</v>
      </c>
      <c r="I75" s="105" t="s">
        <v>23</v>
      </c>
      <c r="J75" s="5"/>
      <c r="K75" s="5"/>
      <c r="L75" s="5"/>
    </row>
    <row r="76" spans="1:12" x14ac:dyDescent="0.35">
      <c r="A76" s="5">
        <v>74</v>
      </c>
      <c r="B76" s="328"/>
      <c r="C76" s="9" t="s">
        <v>707</v>
      </c>
      <c r="D76" s="9"/>
      <c r="E76" s="10" t="s">
        <v>35</v>
      </c>
      <c r="F76" s="9" t="s">
        <v>13</v>
      </c>
      <c r="G76" s="9" t="s">
        <v>64</v>
      </c>
      <c r="H76" s="11">
        <v>1</v>
      </c>
      <c r="I76" s="105" t="s">
        <v>23</v>
      </c>
      <c r="J76" s="5"/>
      <c r="K76" s="5"/>
      <c r="L76" s="5"/>
    </row>
    <row r="77" spans="1:12" x14ac:dyDescent="0.35">
      <c r="A77" s="5">
        <v>75</v>
      </c>
      <c r="B77" s="328"/>
      <c r="C77" s="9" t="s">
        <v>708</v>
      </c>
      <c r="D77" s="107"/>
      <c r="E77" s="108" t="s">
        <v>12</v>
      </c>
      <c r="F77" s="9" t="s">
        <v>13</v>
      </c>
      <c r="G77" s="9" t="s">
        <v>20</v>
      </c>
      <c r="H77" s="12" t="s">
        <v>27</v>
      </c>
      <c r="I77" s="5"/>
      <c r="J77" s="5"/>
      <c r="K77" s="5"/>
      <c r="L77" s="5"/>
    </row>
    <row r="78" spans="1:12" x14ac:dyDescent="0.35">
      <c r="A78" s="5">
        <v>76</v>
      </c>
      <c r="B78" s="328"/>
      <c r="C78" s="9" t="s">
        <v>709</v>
      </c>
      <c r="D78" s="107"/>
      <c r="E78" s="108" t="s">
        <v>24</v>
      </c>
      <c r="F78" s="9" t="s">
        <v>13</v>
      </c>
      <c r="G78" s="9" t="s">
        <v>26</v>
      </c>
      <c r="H78" s="12" t="s">
        <v>27</v>
      </c>
      <c r="I78" s="105" t="s">
        <v>23</v>
      </c>
      <c r="J78" s="5"/>
      <c r="K78" s="5"/>
      <c r="L78" s="5"/>
    </row>
    <row r="79" spans="1:12" ht="29" x14ac:dyDescent="0.35">
      <c r="A79" s="5">
        <v>77</v>
      </c>
      <c r="B79" s="328"/>
      <c r="C79" s="9" t="s">
        <v>710</v>
      </c>
      <c r="D79" s="9"/>
      <c r="E79" s="10" t="s">
        <v>24</v>
      </c>
      <c r="F79" s="9" t="s">
        <v>13</v>
      </c>
      <c r="G79" s="9" t="s">
        <v>29</v>
      </c>
      <c r="H79" s="171" t="s">
        <v>18</v>
      </c>
      <c r="I79" s="5"/>
      <c r="J79" s="5"/>
      <c r="K79" s="5"/>
      <c r="L79" s="5"/>
    </row>
    <row r="80" spans="1:12" x14ac:dyDescent="0.35">
      <c r="A80" s="5">
        <v>78</v>
      </c>
      <c r="B80" s="328"/>
      <c r="C80" s="9" t="s">
        <v>711</v>
      </c>
      <c r="D80" s="9"/>
      <c r="E80" s="10" t="s">
        <v>42</v>
      </c>
      <c r="F80" s="9" t="s">
        <v>13</v>
      </c>
      <c r="G80" s="9" t="s">
        <v>16</v>
      </c>
      <c r="H80" s="12" t="s">
        <v>32</v>
      </c>
      <c r="I80" s="105" t="s">
        <v>23</v>
      </c>
      <c r="J80" s="5"/>
      <c r="K80" s="5"/>
      <c r="L80" s="5"/>
    </row>
    <row r="81" spans="1:12" x14ac:dyDescent="0.35">
      <c r="A81" s="5">
        <v>79</v>
      </c>
      <c r="B81" s="328"/>
      <c r="C81" s="107" t="s">
        <v>712</v>
      </c>
      <c r="D81" s="107"/>
      <c r="E81" s="108" t="s">
        <v>30</v>
      </c>
      <c r="F81" s="9" t="s">
        <v>16</v>
      </c>
      <c r="G81" s="9" t="s">
        <v>16</v>
      </c>
      <c r="H81" s="12" t="s">
        <v>69</v>
      </c>
      <c r="I81" s="5"/>
      <c r="J81" s="5"/>
      <c r="K81" s="5"/>
      <c r="L81" s="5"/>
    </row>
    <row r="82" spans="1:12" ht="29" x14ac:dyDescent="0.35">
      <c r="A82" s="5">
        <v>80</v>
      </c>
      <c r="B82" s="328"/>
      <c r="C82" s="9" t="s">
        <v>714</v>
      </c>
      <c r="D82" s="9"/>
      <c r="E82" s="10" t="s">
        <v>12</v>
      </c>
      <c r="F82" s="9" t="s">
        <v>31</v>
      </c>
      <c r="G82" s="107" t="s">
        <v>53</v>
      </c>
      <c r="H82" s="12" t="s">
        <v>32</v>
      </c>
      <c r="I82" s="5"/>
      <c r="J82" s="5"/>
      <c r="K82" s="5"/>
      <c r="L82" s="5"/>
    </row>
    <row r="83" spans="1:12" ht="29" x14ac:dyDescent="0.35">
      <c r="A83" s="5">
        <v>81</v>
      </c>
      <c r="B83" s="328"/>
      <c r="C83" s="9" t="s">
        <v>661</v>
      </c>
      <c r="D83" s="9"/>
      <c r="E83" s="10" t="s">
        <v>30</v>
      </c>
      <c r="F83" s="9" t="s">
        <v>31</v>
      </c>
      <c r="G83" s="107" t="s">
        <v>44</v>
      </c>
      <c r="H83" s="11">
        <v>1</v>
      </c>
      <c r="I83" s="105" t="s">
        <v>23</v>
      </c>
      <c r="J83" s="5"/>
      <c r="K83" s="5"/>
      <c r="L83" s="5"/>
    </row>
    <row r="84" spans="1:12" ht="29" x14ac:dyDescent="0.35">
      <c r="A84" s="5">
        <v>82</v>
      </c>
      <c r="B84" s="328"/>
      <c r="C84" s="9" t="s">
        <v>714</v>
      </c>
      <c r="D84" s="9"/>
      <c r="E84" s="10" t="s">
        <v>30</v>
      </c>
      <c r="F84" s="9" t="s">
        <v>31</v>
      </c>
      <c r="G84" s="9" t="s">
        <v>14</v>
      </c>
      <c r="H84" s="12" t="s">
        <v>32</v>
      </c>
      <c r="I84" s="5"/>
      <c r="J84" s="5"/>
      <c r="K84" s="5"/>
      <c r="L84" s="5"/>
    </row>
    <row r="85" spans="1:12" ht="29" x14ac:dyDescent="0.35">
      <c r="A85" s="5">
        <v>83</v>
      </c>
      <c r="B85" s="328"/>
      <c r="C85" s="9" t="s">
        <v>713</v>
      </c>
      <c r="D85" s="9"/>
      <c r="E85" s="10" t="s">
        <v>12</v>
      </c>
      <c r="F85" s="9" t="s">
        <v>31</v>
      </c>
      <c r="G85" s="9" t="s">
        <v>29</v>
      </c>
      <c r="H85" s="109" t="s">
        <v>57</v>
      </c>
      <c r="I85" s="5"/>
      <c r="J85" s="5"/>
      <c r="K85" s="5"/>
      <c r="L85" s="5"/>
    </row>
    <row r="86" spans="1:12" ht="29" x14ac:dyDescent="0.35">
      <c r="A86" s="5">
        <v>84</v>
      </c>
      <c r="B86" s="328"/>
      <c r="C86" s="9" t="s">
        <v>715</v>
      </c>
      <c r="D86" s="9"/>
      <c r="E86" s="10" t="s">
        <v>30</v>
      </c>
      <c r="F86" s="9" t="s">
        <v>31</v>
      </c>
      <c r="G86" s="107" t="s">
        <v>16</v>
      </c>
      <c r="H86" s="12" t="s">
        <v>32</v>
      </c>
      <c r="I86" s="105" t="s">
        <v>23</v>
      </c>
      <c r="J86" s="5"/>
      <c r="K86" s="5"/>
      <c r="L86" s="5"/>
    </row>
    <row r="87" spans="1:12" ht="29" x14ac:dyDescent="0.35">
      <c r="A87" s="5">
        <v>85</v>
      </c>
      <c r="B87" s="328"/>
      <c r="C87" s="9" t="s">
        <v>716</v>
      </c>
      <c r="D87" s="9"/>
      <c r="E87" s="10" t="s">
        <v>30</v>
      </c>
      <c r="F87" s="9" t="s">
        <v>31</v>
      </c>
      <c r="G87" s="9" t="s">
        <v>26</v>
      </c>
      <c r="H87" s="12" t="s">
        <v>27</v>
      </c>
      <c r="I87" s="105" t="s">
        <v>23</v>
      </c>
      <c r="J87" s="105" t="s">
        <v>66</v>
      </c>
      <c r="K87" s="5"/>
      <c r="L87" s="5"/>
    </row>
    <row r="88" spans="1:12" ht="29.5" thickBot="1" x14ac:dyDescent="0.4">
      <c r="A88" s="116">
        <v>86</v>
      </c>
      <c r="B88" s="332"/>
      <c r="C88" s="119" t="s">
        <v>717</v>
      </c>
      <c r="D88" s="119"/>
      <c r="E88" s="120" t="s">
        <v>30</v>
      </c>
      <c r="F88" s="119" t="s">
        <v>13</v>
      </c>
      <c r="G88" s="119" t="s">
        <v>65</v>
      </c>
      <c r="H88" s="121" t="s">
        <v>27</v>
      </c>
      <c r="I88" s="225"/>
      <c r="J88" s="225"/>
      <c r="K88" s="225"/>
      <c r="L88" s="225"/>
    </row>
    <row r="89" spans="1:12" ht="15" thickTop="1" x14ac:dyDescent="0.35">
      <c r="A89" s="231">
        <v>87</v>
      </c>
      <c r="B89" s="333">
        <v>46082</v>
      </c>
      <c r="C89" s="111" t="s">
        <v>718</v>
      </c>
      <c r="D89" s="111"/>
      <c r="E89" s="112" t="s">
        <v>49</v>
      </c>
      <c r="F89" s="111" t="s">
        <v>13</v>
      </c>
      <c r="G89" s="111" t="s">
        <v>29</v>
      </c>
      <c r="H89" s="113" t="s">
        <v>27</v>
      </c>
      <c r="I89" s="126" t="s">
        <v>23</v>
      </c>
      <c r="J89" s="126" t="s">
        <v>23</v>
      </c>
      <c r="K89" s="111"/>
      <c r="L89" s="111"/>
    </row>
    <row r="90" spans="1:12" x14ac:dyDescent="0.35">
      <c r="A90" s="5">
        <v>88</v>
      </c>
      <c r="B90" s="324"/>
      <c r="C90" s="9" t="s">
        <v>719</v>
      </c>
      <c r="D90" s="9"/>
      <c r="E90" s="10" t="s">
        <v>24</v>
      </c>
      <c r="F90" s="9" t="s">
        <v>13</v>
      </c>
      <c r="G90" s="9" t="s">
        <v>67</v>
      </c>
      <c r="H90" s="11">
        <v>1</v>
      </c>
      <c r="I90" s="105" t="s">
        <v>23</v>
      </c>
      <c r="J90" s="105" t="s">
        <v>23</v>
      </c>
      <c r="K90" s="5"/>
      <c r="L90" s="5"/>
    </row>
    <row r="91" spans="1:12" x14ac:dyDescent="0.35">
      <c r="A91" s="5">
        <v>89</v>
      </c>
      <c r="B91" s="324"/>
      <c r="C91" s="9" t="s">
        <v>720</v>
      </c>
      <c r="D91" s="9"/>
      <c r="E91" s="10" t="s">
        <v>24</v>
      </c>
      <c r="F91" s="9" t="s">
        <v>13</v>
      </c>
      <c r="G91" s="9" t="s">
        <v>68</v>
      </c>
      <c r="H91" s="11">
        <v>1</v>
      </c>
      <c r="I91" s="105" t="s">
        <v>23</v>
      </c>
      <c r="J91" s="5"/>
      <c r="K91" s="5"/>
      <c r="L91" s="5"/>
    </row>
    <row r="92" spans="1:12" ht="29" x14ac:dyDescent="0.35">
      <c r="A92" s="5">
        <v>90</v>
      </c>
      <c r="B92" s="324"/>
      <c r="C92" s="9" t="s">
        <v>721</v>
      </c>
      <c r="D92" s="9"/>
      <c r="E92" s="10" t="s">
        <v>30</v>
      </c>
      <c r="F92" s="9" t="s">
        <v>31</v>
      </c>
      <c r="G92" s="9" t="s">
        <v>50</v>
      </c>
      <c r="H92" s="12" t="s">
        <v>32</v>
      </c>
      <c r="I92" s="5"/>
      <c r="J92" s="5"/>
      <c r="K92" s="5"/>
      <c r="L92" s="5"/>
    </row>
    <row r="93" spans="1:12" x14ac:dyDescent="0.35">
      <c r="A93" s="5">
        <v>91</v>
      </c>
      <c r="B93" s="324"/>
      <c r="C93" s="9" t="s">
        <v>722</v>
      </c>
      <c r="D93" s="9"/>
      <c r="E93" s="10" t="s">
        <v>19</v>
      </c>
      <c r="F93" s="9" t="s">
        <v>13</v>
      </c>
      <c r="G93" s="9" t="s">
        <v>29</v>
      </c>
      <c r="H93" s="11">
        <v>1</v>
      </c>
      <c r="I93" s="105" t="s">
        <v>23</v>
      </c>
      <c r="J93" s="5"/>
      <c r="K93" s="5"/>
      <c r="L93" s="5"/>
    </row>
    <row r="94" spans="1:12" ht="29" x14ac:dyDescent="0.35">
      <c r="A94" s="5">
        <v>92</v>
      </c>
      <c r="B94" s="324"/>
      <c r="C94" s="9" t="s">
        <v>723</v>
      </c>
      <c r="D94" s="9"/>
      <c r="E94" s="10" t="s">
        <v>49</v>
      </c>
      <c r="F94" s="9" t="s">
        <v>25</v>
      </c>
      <c r="G94" s="9" t="s">
        <v>16</v>
      </c>
      <c r="H94" s="12" t="s">
        <v>32</v>
      </c>
      <c r="I94" s="5"/>
      <c r="J94" s="5"/>
      <c r="K94" s="5"/>
      <c r="L94" s="5"/>
    </row>
    <row r="95" spans="1:12" ht="29" x14ac:dyDescent="0.35">
      <c r="A95" s="5">
        <v>93</v>
      </c>
      <c r="B95" s="324"/>
      <c r="C95" s="9" t="s">
        <v>724</v>
      </c>
      <c r="D95" s="9"/>
      <c r="E95" s="10" t="s">
        <v>30</v>
      </c>
      <c r="F95" s="9" t="s">
        <v>31</v>
      </c>
      <c r="G95" s="9" t="s">
        <v>26</v>
      </c>
      <c r="H95" s="12" t="s">
        <v>32</v>
      </c>
      <c r="I95" s="105" t="s">
        <v>23</v>
      </c>
      <c r="J95" s="5"/>
      <c r="K95" s="5"/>
      <c r="L95" s="5"/>
    </row>
    <row r="96" spans="1:12" ht="29" x14ac:dyDescent="0.35">
      <c r="A96" s="5">
        <v>94</v>
      </c>
      <c r="B96" s="324"/>
      <c r="C96" s="9" t="s">
        <v>725</v>
      </c>
      <c r="D96" s="9"/>
      <c r="E96" s="10" t="s">
        <v>12</v>
      </c>
      <c r="F96" s="9" t="s">
        <v>25</v>
      </c>
      <c r="G96" s="9" t="s">
        <v>26</v>
      </c>
      <c r="H96" s="12" t="s">
        <v>27</v>
      </c>
      <c r="I96" s="105" t="s">
        <v>23</v>
      </c>
      <c r="J96" s="5"/>
      <c r="K96" s="5"/>
      <c r="L96" s="5"/>
    </row>
    <row r="97" spans="1:12" ht="29" x14ac:dyDescent="0.35">
      <c r="A97" s="5">
        <v>95</v>
      </c>
      <c r="B97" s="324"/>
      <c r="C97" s="9" t="s">
        <v>712</v>
      </c>
      <c r="D97" s="9"/>
      <c r="E97" s="10" t="s">
        <v>30</v>
      </c>
      <c r="F97" s="9" t="s">
        <v>31</v>
      </c>
      <c r="G97" s="9" t="s">
        <v>26</v>
      </c>
      <c r="H97" s="12" t="s">
        <v>69</v>
      </c>
      <c r="I97" s="105" t="s">
        <v>23</v>
      </c>
      <c r="J97" s="5"/>
      <c r="K97" s="5"/>
      <c r="L97" s="5"/>
    </row>
    <row r="98" spans="1:12" ht="29" x14ac:dyDescent="0.35">
      <c r="A98" s="5">
        <v>96</v>
      </c>
      <c r="B98" s="324"/>
      <c r="C98" s="9" t="s">
        <v>726</v>
      </c>
      <c r="D98" s="9"/>
      <c r="E98" s="10" t="s">
        <v>35</v>
      </c>
      <c r="F98" s="9" t="s">
        <v>25</v>
      </c>
      <c r="G98" s="9" t="s">
        <v>68</v>
      </c>
      <c r="H98" s="12" t="s">
        <v>69</v>
      </c>
      <c r="I98" s="5"/>
      <c r="J98" s="5"/>
      <c r="K98" s="5"/>
      <c r="L98" s="5"/>
    </row>
    <row r="99" spans="1:12" ht="29" x14ac:dyDescent="0.35">
      <c r="A99" s="5">
        <v>97</v>
      </c>
      <c r="B99" s="324"/>
      <c r="C99" s="9" t="s">
        <v>727</v>
      </c>
      <c r="D99" s="9"/>
      <c r="E99" s="10" t="s">
        <v>39</v>
      </c>
      <c r="F99" s="9" t="s">
        <v>31</v>
      </c>
      <c r="G99" s="9" t="s">
        <v>50</v>
      </c>
      <c r="H99" s="12" t="s">
        <v>32</v>
      </c>
      <c r="I99" s="105" t="s">
        <v>23</v>
      </c>
      <c r="J99" s="5"/>
      <c r="K99" s="5"/>
      <c r="L99" s="5"/>
    </row>
    <row r="100" spans="1:12" ht="29" x14ac:dyDescent="0.35">
      <c r="A100" s="5">
        <v>98</v>
      </c>
      <c r="B100" s="324"/>
      <c r="C100" s="9" t="s">
        <v>714</v>
      </c>
      <c r="D100" s="9"/>
      <c r="E100" s="10" t="s">
        <v>30</v>
      </c>
      <c r="F100" s="9" t="s">
        <v>31</v>
      </c>
      <c r="G100" s="9" t="s">
        <v>29</v>
      </c>
      <c r="H100" s="12" t="s">
        <v>32</v>
      </c>
      <c r="I100" s="5"/>
      <c r="J100" s="5"/>
      <c r="K100" s="5"/>
      <c r="L100" s="5"/>
    </row>
    <row r="101" spans="1:12" x14ac:dyDescent="0.35">
      <c r="A101" s="5">
        <v>99</v>
      </c>
      <c r="B101" s="324"/>
      <c r="C101" s="9" t="s">
        <v>728</v>
      </c>
      <c r="D101" s="9"/>
      <c r="E101" s="10" t="s">
        <v>39</v>
      </c>
      <c r="F101" s="9" t="s">
        <v>16</v>
      </c>
      <c r="G101" s="9" t="s">
        <v>16</v>
      </c>
      <c r="H101" s="12" t="s">
        <v>27</v>
      </c>
      <c r="I101" s="105" t="s">
        <v>23</v>
      </c>
      <c r="J101" s="5"/>
      <c r="K101" s="5"/>
      <c r="L101" s="5"/>
    </row>
    <row r="102" spans="1:12" ht="29" x14ac:dyDescent="0.35">
      <c r="A102" s="5">
        <v>100</v>
      </c>
      <c r="B102" s="324"/>
      <c r="C102" s="9" t="s">
        <v>729</v>
      </c>
      <c r="D102" s="9"/>
      <c r="E102" s="10" t="s">
        <v>12</v>
      </c>
      <c r="F102" s="9" t="s">
        <v>31</v>
      </c>
      <c r="G102" s="9" t="s">
        <v>26</v>
      </c>
      <c r="H102" s="12" t="s">
        <v>69</v>
      </c>
      <c r="I102" s="105" t="s">
        <v>23</v>
      </c>
      <c r="J102" s="5"/>
      <c r="K102" s="5"/>
      <c r="L102" s="5"/>
    </row>
    <row r="103" spans="1:12" ht="29.5" thickBot="1" x14ac:dyDescent="0.4">
      <c r="A103" s="5">
        <v>101</v>
      </c>
      <c r="B103" s="330"/>
      <c r="C103" s="119" t="s">
        <v>730</v>
      </c>
      <c r="D103" s="119"/>
      <c r="E103" s="120" t="s">
        <v>49</v>
      </c>
      <c r="F103" s="119" t="s">
        <v>31</v>
      </c>
      <c r="G103" s="119" t="s">
        <v>26</v>
      </c>
      <c r="H103" s="121" t="s">
        <v>32</v>
      </c>
      <c r="I103" s="225"/>
      <c r="J103" s="225"/>
      <c r="K103" s="225"/>
      <c r="L103" s="225"/>
    </row>
    <row r="104" spans="1:12" ht="29.5" thickTop="1" x14ac:dyDescent="0.35">
      <c r="A104">
        <v>102</v>
      </c>
      <c r="B104" s="333">
        <v>46113</v>
      </c>
      <c r="C104" s="111" t="s">
        <v>731</v>
      </c>
      <c r="D104" s="111"/>
      <c r="E104" s="112" t="s">
        <v>24</v>
      </c>
      <c r="F104" s="111" t="s">
        <v>25</v>
      </c>
      <c r="G104" s="111" t="s">
        <v>16</v>
      </c>
      <c r="H104" s="113" t="s">
        <v>18</v>
      </c>
      <c r="I104" s="114"/>
      <c r="J104" s="114"/>
      <c r="K104" s="114"/>
      <c r="L104" s="114"/>
    </row>
    <row r="105" spans="1:12" ht="29" x14ac:dyDescent="0.35">
      <c r="A105">
        <v>103</v>
      </c>
      <c r="B105" s="324"/>
      <c r="C105" s="9" t="s">
        <v>732</v>
      </c>
      <c r="D105" s="9"/>
      <c r="E105" s="10" t="s">
        <v>39</v>
      </c>
      <c r="F105" s="9" t="s">
        <v>31</v>
      </c>
      <c r="G105" s="9" t="s">
        <v>29</v>
      </c>
      <c r="H105" s="12" t="s">
        <v>69</v>
      </c>
      <c r="I105" s="105" t="s">
        <v>23</v>
      </c>
      <c r="J105" s="5"/>
      <c r="K105" s="5"/>
      <c r="L105" s="5"/>
    </row>
    <row r="106" spans="1:12" ht="29" x14ac:dyDescent="0.35">
      <c r="A106">
        <v>104</v>
      </c>
      <c r="B106" s="324"/>
      <c r="C106" s="9" t="s">
        <v>733</v>
      </c>
      <c r="D106" s="9"/>
      <c r="E106" s="10" t="s">
        <v>39</v>
      </c>
      <c r="F106" s="9" t="s">
        <v>31</v>
      </c>
      <c r="G106" s="9" t="s">
        <v>26</v>
      </c>
      <c r="H106" s="12" t="s">
        <v>69</v>
      </c>
      <c r="I106" s="5"/>
      <c r="J106" s="5"/>
      <c r="K106" s="5"/>
      <c r="L106" s="5"/>
    </row>
    <row r="107" spans="1:12" ht="29" x14ac:dyDescent="0.35">
      <c r="A107">
        <v>105</v>
      </c>
      <c r="B107" s="324"/>
      <c r="C107" s="9" t="s">
        <v>734</v>
      </c>
      <c r="D107" s="9"/>
      <c r="E107" s="10" t="s">
        <v>49</v>
      </c>
      <c r="F107" s="9" t="s">
        <v>25</v>
      </c>
      <c r="G107" s="9" t="s">
        <v>29</v>
      </c>
      <c r="H107" s="12" t="s">
        <v>71</v>
      </c>
      <c r="I107" s="105" t="s">
        <v>23</v>
      </c>
      <c r="J107" s="5"/>
      <c r="K107" s="5"/>
      <c r="L107" s="5"/>
    </row>
    <row r="108" spans="1:12" x14ac:dyDescent="0.35">
      <c r="A108">
        <v>106</v>
      </c>
      <c r="B108" s="324"/>
      <c r="C108" s="223" t="s">
        <v>735</v>
      </c>
      <c r="D108" s="223"/>
      <c r="E108" s="10" t="s">
        <v>42</v>
      </c>
      <c r="F108" s="9" t="s">
        <v>13</v>
      </c>
      <c r="G108" s="9" t="s">
        <v>16</v>
      </c>
      <c r="H108" s="12" t="s">
        <v>27</v>
      </c>
      <c r="I108" s="5"/>
      <c r="J108" s="5"/>
      <c r="K108" s="5"/>
      <c r="L108" s="5"/>
    </row>
    <row r="109" spans="1:12" ht="15" thickBot="1" x14ac:dyDescent="0.4">
      <c r="A109">
        <v>107</v>
      </c>
      <c r="B109" s="324"/>
      <c r="C109" s="9" t="s">
        <v>736</v>
      </c>
      <c r="D109" s="9"/>
      <c r="E109" s="10" t="s">
        <v>15</v>
      </c>
      <c r="F109" s="9" t="s">
        <v>13</v>
      </c>
      <c r="G109" s="9" t="s">
        <v>16</v>
      </c>
      <c r="H109" s="12" t="s">
        <v>69</v>
      </c>
      <c r="I109" s="105" t="s">
        <v>23</v>
      </c>
      <c r="J109" s="5"/>
      <c r="K109" s="5"/>
      <c r="L109" s="5"/>
    </row>
    <row r="110" spans="1:12" ht="29.5" thickTop="1" x14ac:dyDescent="0.35">
      <c r="A110">
        <v>108</v>
      </c>
      <c r="B110" s="324"/>
      <c r="C110" s="9" t="s">
        <v>737</v>
      </c>
      <c r="D110" s="9"/>
      <c r="E110" s="112" t="s">
        <v>49</v>
      </c>
      <c r="F110" s="9" t="s">
        <v>31</v>
      </c>
      <c r="G110" s="9" t="s">
        <v>26</v>
      </c>
      <c r="H110" s="12" t="s">
        <v>69</v>
      </c>
      <c r="I110" s="105" t="s">
        <v>23</v>
      </c>
      <c r="J110" s="5"/>
      <c r="K110" s="5"/>
      <c r="L110" s="5"/>
    </row>
    <row r="111" spans="1:12" ht="29" x14ac:dyDescent="0.35">
      <c r="A111">
        <v>109</v>
      </c>
      <c r="B111" s="324"/>
      <c r="C111" s="223" t="s">
        <v>738</v>
      </c>
      <c r="D111" s="9"/>
      <c r="E111" s="10" t="s">
        <v>30</v>
      </c>
      <c r="F111" s="9" t="s">
        <v>31</v>
      </c>
      <c r="G111" s="9" t="s">
        <v>29</v>
      </c>
      <c r="H111" s="12" t="s">
        <v>27</v>
      </c>
      <c r="I111" s="105" t="s">
        <v>23</v>
      </c>
      <c r="J111" s="5"/>
      <c r="K111" s="5"/>
      <c r="L111" s="5"/>
    </row>
    <row r="112" spans="1:12" ht="29" x14ac:dyDescent="0.35">
      <c r="A112">
        <v>110</v>
      </c>
      <c r="B112" s="324"/>
      <c r="C112" s="9" t="s">
        <v>739</v>
      </c>
      <c r="D112" s="9"/>
      <c r="E112" s="10" t="s">
        <v>42</v>
      </c>
      <c r="F112" s="9" t="s">
        <v>25</v>
      </c>
      <c r="G112" s="9" t="s">
        <v>16</v>
      </c>
      <c r="H112" s="12" t="s">
        <v>69</v>
      </c>
      <c r="I112" s="5"/>
      <c r="J112" s="5"/>
      <c r="K112" s="5"/>
      <c r="L112" s="5"/>
    </row>
    <row r="113" spans="1:12" ht="29" x14ac:dyDescent="0.35">
      <c r="A113">
        <v>111</v>
      </c>
      <c r="B113" s="324"/>
      <c r="C113" s="9" t="s">
        <v>740</v>
      </c>
      <c r="D113" s="9"/>
      <c r="E113" s="10" t="s">
        <v>39</v>
      </c>
      <c r="F113" s="9" t="s">
        <v>25</v>
      </c>
      <c r="G113" s="9" t="s">
        <v>16</v>
      </c>
      <c r="H113" s="12" t="s">
        <v>69</v>
      </c>
      <c r="I113" s="5"/>
      <c r="J113" s="5"/>
      <c r="K113" s="5"/>
      <c r="L113" s="5"/>
    </row>
    <row r="114" spans="1:12" ht="29.5" thickBot="1" x14ac:dyDescent="0.4">
      <c r="A114">
        <v>112</v>
      </c>
      <c r="B114" s="324"/>
      <c r="C114" s="223" t="s">
        <v>741</v>
      </c>
      <c r="D114" s="119"/>
      <c r="E114" s="120" t="s">
        <v>30</v>
      </c>
      <c r="F114" s="119" t="s">
        <v>31</v>
      </c>
      <c r="G114" s="119" t="s">
        <v>26</v>
      </c>
      <c r="H114" s="121" t="s">
        <v>57</v>
      </c>
      <c r="I114" s="224" t="s">
        <v>23</v>
      </c>
      <c r="J114" s="225"/>
      <c r="K114" s="225"/>
      <c r="L114" s="225"/>
    </row>
    <row r="115" spans="1:12" ht="15" thickTop="1" x14ac:dyDescent="0.35">
      <c r="A115">
        <v>113</v>
      </c>
      <c r="B115" s="329">
        <v>46143</v>
      </c>
      <c r="C115" s="244" t="s">
        <v>742</v>
      </c>
      <c r="D115" s="244"/>
      <c r="E115" s="112" t="s">
        <v>24</v>
      </c>
      <c r="F115" s="111" t="s">
        <v>13</v>
      </c>
      <c r="G115" s="111" t="s">
        <v>44</v>
      </c>
      <c r="H115" s="113" t="s">
        <v>27</v>
      </c>
      <c r="I115" s="114"/>
      <c r="J115" s="114"/>
      <c r="K115" s="114"/>
      <c r="L115" s="114"/>
    </row>
    <row r="116" spans="1:12" x14ac:dyDescent="0.35">
      <c r="A116">
        <v>114</v>
      </c>
      <c r="B116" s="334"/>
      <c r="C116" s="245" t="s">
        <v>743</v>
      </c>
      <c r="D116" s="245"/>
      <c r="E116" s="10" t="s">
        <v>39</v>
      </c>
      <c r="F116" s="9" t="s">
        <v>13</v>
      </c>
      <c r="G116" s="9" t="s">
        <v>29</v>
      </c>
      <c r="H116" s="12" t="s">
        <v>27</v>
      </c>
      <c r="I116" s="105" t="s">
        <v>23</v>
      </c>
      <c r="J116" s="5"/>
      <c r="K116" s="5"/>
      <c r="L116" s="5"/>
    </row>
    <row r="117" spans="1:12" ht="29" x14ac:dyDescent="0.35">
      <c r="A117">
        <v>115</v>
      </c>
      <c r="B117" s="334"/>
      <c r="C117" s="245" t="s">
        <v>744</v>
      </c>
      <c r="D117" s="245"/>
      <c r="E117" s="10" t="s">
        <v>39</v>
      </c>
      <c r="F117" s="9" t="s">
        <v>31</v>
      </c>
      <c r="G117" s="9" t="s">
        <v>16</v>
      </c>
      <c r="H117" s="12" t="s">
        <v>27</v>
      </c>
      <c r="I117" s="105" t="s">
        <v>72</v>
      </c>
      <c r="J117" s="5"/>
      <c r="K117" s="5"/>
      <c r="L117" s="5"/>
    </row>
    <row r="118" spans="1:12" ht="29" x14ac:dyDescent="0.35">
      <c r="A118">
        <v>116</v>
      </c>
      <c r="B118" s="334"/>
      <c r="C118" s="245" t="s">
        <v>745</v>
      </c>
      <c r="D118" s="245"/>
      <c r="E118" s="10" t="s">
        <v>30</v>
      </c>
      <c r="F118" s="9" t="s">
        <v>31</v>
      </c>
      <c r="G118" s="9" t="s">
        <v>26</v>
      </c>
      <c r="H118" s="12" t="s">
        <v>27</v>
      </c>
      <c r="I118" s="5"/>
      <c r="J118" s="5"/>
      <c r="K118" s="5"/>
      <c r="L118" s="5"/>
    </row>
    <row r="119" spans="1:12" ht="29" x14ac:dyDescent="0.35">
      <c r="A119">
        <v>117</v>
      </c>
      <c r="B119" s="334"/>
      <c r="C119" s="245" t="s">
        <v>746</v>
      </c>
      <c r="D119" s="245"/>
      <c r="E119" s="10" t="s">
        <v>42</v>
      </c>
      <c r="F119" s="9" t="s">
        <v>31</v>
      </c>
      <c r="G119" s="9" t="s">
        <v>29</v>
      </c>
      <c r="H119" s="12" t="s">
        <v>71</v>
      </c>
      <c r="I119" s="5"/>
      <c r="J119" s="5"/>
      <c r="K119" s="5"/>
      <c r="L119" s="5"/>
    </row>
    <row r="120" spans="1:12" x14ac:dyDescent="0.35">
      <c r="A120">
        <v>118</v>
      </c>
      <c r="B120" s="334"/>
      <c r="C120" s="245" t="s">
        <v>747</v>
      </c>
      <c r="D120" s="245"/>
      <c r="E120" s="10" t="s">
        <v>39</v>
      </c>
      <c r="F120" s="9" t="s">
        <v>13</v>
      </c>
      <c r="G120" s="9" t="s">
        <v>16</v>
      </c>
      <c r="H120" s="12" t="s">
        <v>27</v>
      </c>
      <c r="I120" s="105" t="s">
        <v>23</v>
      </c>
      <c r="J120" s="5"/>
      <c r="K120" s="5"/>
      <c r="L120" s="5"/>
    </row>
    <row r="121" spans="1:12" ht="29" x14ac:dyDescent="0.35">
      <c r="A121">
        <v>119</v>
      </c>
      <c r="B121" s="334"/>
      <c r="C121" s="245" t="s">
        <v>714</v>
      </c>
      <c r="D121" s="245"/>
      <c r="E121" s="10" t="s">
        <v>30</v>
      </c>
      <c r="F121" s="9" t="s">
        <v>31</v>
      </c>
      <c r="G121" s="9" t="s">
        <v>26</v>
      </c>
      <c r="H121" s="12" t="s">
        <v>71</v>
      </c>
      <c r="I121" s="5"/>
      <c r="J121" s="5"/>
      <c r="K121" s="5"/>
      <c r="L121" s="5"/>
    </row>
    <row r="122" spans="1:12" ht="29.5" thickBot="1" x14ac:dyDescent="0.4">
      <c r="A122">
        <v>120</v>
      </c>
      <c r="B122" s="334"/>
      <c r="C122" s="253" t="s">
        <v>714</v>
      </c>
      <c r="D122" s="253"/>
      <c r="E122" s="108" t="s">
        <v>30</v>
      </c>
      <c r="F122" s="107" t="s">
        <v>31</v>
      </c>
      <c r="G122" s="9" t="s">
        <v>70</v>
      </c>
      <c r="H122" s="12" t="s">
        <v>27</v>
      </c>
      <c r="I122" s="116"/>
      <c r="J122" s="116"/>
      <c r="K122" s="116"/>
      <c r="L122" s="116"/>
    </row>
    <row r="123" spans="1:12" ht="15" thickBot="1" x14ac:dyDescent="0.4">
      <c r="A123">
        <v>121</v>
      </c>
      <c r="B123" s="323">
        <v>46174</v>
      </c>
      <c r="C123" s="254" t="s">
        <v>748</v>
      </c>
      <c r="D123" s="254"/>
      <c r="E123" s="242" t="s">
        <v>49</v>
      </c>
      <c r="F123" s="241" t="s">
        <v>13</v>
      </c>
      <c r="G123" s="241" t="s">
        <v>73</v>
      </c>
      <c r="H123" s="243" t="s">
        <v>69</v>
      </c>
      <c r="I123" s="255" t="s">
        <v>23</v>
      </c>
      <c r="J123" s="231"/>
      <c r="K123" s="231"/>
      <c r="L123" s="231"/>
    </row>
    <row r="124" spans="1:12" ht="29" x14ac:dyDescent="0.35">
      <c r="A124">
        <v>122</v>
      </c>
      <c r="B124" s="334"/>
      <c r="C124" s="245" t="s">
        <v>749</v>
      </c>
      <c r="D124" s="245"/>
      <c r="E124" s="10" t="s">
        <v>39</v>
      </c>
      <c r="F124" s="9" t="s">
        <v>25</v>
      </c>
      <c r="G124" s="9" t="s">
        <v>16</v>
      </c>
      <c r="H124" s="12" t="s">
        <v>71</v>
      </c>
      <c r="I124" s="255" t="s">
        <v>74</v>
      </c>
      <c r="J124" s="5"/>
      <c r="K124" s="5"/>
      <c r="L124" s="5"/>
    </row>
    <row r="125" spans="1:12" ht="16.5" thickBot="1" x14ac:dyDescent="0.45">
      <c r="A125">
        <v>123</v>
      </c>
      <c r="B125" s="334"/>
      <c r="C125" s="265" t="s">
        <v>750</v>
      </c>
      <c r="D125" s="265"/>
      <c r="E125" s="108" t="s">
        <v>42</v>
      </c>
      <c r="F125" s="107" t="s">
        <v>13</v>
      </c>
      <c r="G125" s="107" t="s">
        <v>44</v>
      </c>
      <c r="H125" s="109" t="s">
        <v>69</v>
      </c>
      <c r="I125" s="125" t="s">
        <v>23</v>
      </c>
      <c r="J125" s="116"/>
      <c r="K125" s="116"/>
      <c r="L125" s="116"/>
    </row>
    <row r="126" spans="1:12" x14ac:dyDescent="0.35">
      <c r="A126" s="231">
        <v>124</v>
      </c>
      <c r="B126" s="327">
        <v>46204</v>
      </c>
      <c r="C126" s="241" t="s">
        <v>751</v>
      </c>
      <c r="D126" s="241"/>
      <c r="E126" s="242" t="s">
        <v>39</v>
      </c>
      <c r="F126" s="241" t="s">
        <v>16</v>
      </c>
      <c r="G126" s="241" t="s">
        <v>16</v>
      </c>
      <c r="H126" s="243" t="s">
        <v>27</v>
      </c>
      <c r="I126" s="105" t="s">
        <v>75</v>
      </c>
      <c r="J126" s="231"/>
      <c r="K126" s="231"/>
      <c r="L126" s="231"/>
    </row>
    <row r="127" spans="1:12" ht="32" x14ac:dyDescent="0.4">
      <c r="A127" s="5">
        <v>125</v>
      </c>
      <c r="B127" s="328"/>
      <c r="C127" s="266" t="s">
        <v>661</v>
      </c>
      <c r="D127" s="302" t="s">
        <v>76</v>
      </c>
      <c r="E127" s="10" t="s">
        <v>30</v>
      </c>
      <c r="F127" s="9" t="s">
        <v>31</v>
      </c>
      <c r="G127" s="9" t="s">
        <v>26</v>
      </c>
      <c r="H127" s="12" t="s">
        <v>71</v>
      </c>
      <c r="I127" s="5"/>
      <c r="J127" s="5"/>
      <c r="K127" s="5"/>
      <c r="L127" s="5"/>
    </row>
    <row r="128" spans="1:12" ht="16" x14ac:dyDescent="0.4">
      <c r="A128" s="5">
        <v>126</v>
      </c>
      <c r="B128" s="328"/>
      <c r="C128" s="266" t="s">
        <v>752</v>
      </c>
      <c r="D128" s="266"/>
      <c r="E128" s="10" t="s">
        <v>49</v>
      </c>
      <c r="F128" s="9" t="s">
        <v>13</v>
      </c>
      <c r="G128" s="9" t="s">
        <v>63</v>
      </c>
      <c r="H128" s="12" t="s">
        <v>27</v>
      </c>
      <c r="I128" s="105" t="s">
        <v>23</v>
      </c>
      <c r="J128" s="5"/>
      <c r="K128" s="5"/>
      <c r="L128" s="5"/>
    </row>
    <row r="129" spans="1:12" ht="29.5" x14ac:dyDescent="0.4">
      <c r="A129" s="5">
        <v>127</v>
      </c>
      <c r="B129" s="328"/>
      <c r="C129" s="266" t="s">
        <v>732</v>
      </c>
      <c r="D129" s="266" t="s">
        <v>77</v>
      </c>
      <c r="E129" s="10" t="s">
        <v>12</v>
      </c>
      <c r="F129" s="9" t="s">
        <v>31</v>
      </c>
      <c r="G129" s="9" t="s">
        <v>26</v>
      </c>
      <c r="H129" s="12" t="s">
        <v>69</v>
      </c>
      <c r="I129" s="5"/>
      <c r="J129" s="5"/>
      <c r="K129" s="5"/>
      <c r="L129" s="5"/>
    </row>
    <row r="130" spans="1:12" ht="29.5" x14ac:dyDescent="0.4">
      <c r="A130" s="5">
        <v>128</v>
      </c>
      <c r="B130" s="328"/>
      <c r="C130" s="266" t="s">
        <v>753</v>
      </c>
      <c r="D130" s="266"/>
      <c r="E130" s="10" t="s">
        <v>49</v>
      </c>
      <c r="F130" s="9" t="s">
        <v>31</v>
      </c>
      <c r="G130" s="9" t="s">
        <v>50</v>
      </c>
      <c r="H130" s="12" t="s">
        <v>69</v>
      </c>
      <c r="I130" s="5"/>
      <c r="J130" s="5"/>
      <c r="K130" s="5"/>
      <c r="L130" s="5"/>
    </row>
    <row r="131" spans="1:12" x14ac:dyDescent="0.35">
      <c r="A131" s="5">
        <v>129</v>
      </c>
      <c r="B131" s="328"/>
      <c r="C131" s="9" t="s">
        <v>754</v>
      </c>
      <c r="D131" s="9"/>
      <c r="E131" s="10" t="s">
        <v>49</v>
      </c>
      <c r="F131" s="9" t="s">
        <v>13</v>
      </c>
      <c r="G131" s="9" t="s">
        <v>64</v>
      </c>
      <c r="H131" s="12" t="s">
        <v>69</v>
      </c>
      <c r="I131" s="105" t="s">
        <v>23</v>
      </c>
      <c r="J131" s="5"/>
      <c r="K131" s="5"/>
      <c r="L131" s="5"/>
    </row>
    <row r="132" spans="1:12" ht="29" x14ac:dyDescent="0.35">
      <c r="A132" s="5">
        <v>130</v>
      </c>
      <c r="B132" s="328"/>
      <c r="C132" s="9" t="s">
        <v>755</v>
      </c>
      <c r="D132" s="9"/>
      <c r="E132" s="10" t="s">
        <v>12</v>
      </c>
      <c r="F132" s="9" t="s">
        <v>31</v>
      </c>
      <c r="G132" s="9" t="s">
        <v>29</v>
      </c>
      <c r="H132" s="12" t="s">
        <v>69</v>
      </c>
      <c r="I132" s="105" t="s">
        <v>23</v>
      </c>
      <c r="J132" s="5"/>
      <c r="K132" s="5"/>
      <c r="L132" s="5"/>
    </row>
    <row r="133" spans="1:12" ht="29" x14ac:dyDescent="0.35">
      <c r="A133" s="5">
        <v>131</v>
      </c>
      <c r="B133" s="328"/>
      <c r="C133" s="9" t="s">
        <v>756</v>
      </c>
      <c r="D133" s="9"/>
      <c r="E133" s="10" t="s">
        <v>12</v>
      </c>
      <c r="F133" s="9" t="s">
        <v>31</v>
      </c>
      <c r="G133" s="9" t="s">
        <v>29</v>
      </c>
      <c r="H133" s="12" t="s">
        <v>69</v>
      </c>
      <c r="I133" s="5"/>
      <c r="J133" s="5"/>
      <c r="K133" s="5"/>
      <c r="L133" s="5"/>
    </row>
    <row r="134" spans="1:12" ht="29" x14ac:dyDescent="0.35">
      <c r="A134" s="5">
        <v>132</v>
      </c>
      <c r="B134" s="328"/>
      <c r="C134" s="9" t="s">
        <v>757</v>
      </c>
      <c r="D134" s="9"/>
      <c r="E134" s="10" t="s">
        <v>30</v>
      </c>
      <c r="F134" s="9" t="s">
        <v>31</v>
      </c>
      <c r="G134" s="9" t="s">
        <v>16</v>
      </c>
      <c r="H134" s="12" t="s">
        <v>69</v>
      </c>
      <c r="I134" s="105" t="s">
        <v>23</v>
      </c>
      <c r="J134" s="5"/>
      <c r="K134" s="5"/>
      <c r="L134" s="5"/>
    </row>
    <row r="135" spans="1:12" ht="29" x14ac:dyDescent="0.35">
      <c r="A135" s="5">
        <v>133</v>
      </c>
      <c r="B135" s="328"/>
      <c r="C135" s="9" t="s">
        <v>758</v>
      </c>
      <c r="D135" s="9" t="s">
        <v>78</v>
      </c>
      <c r="E135" s="10" t="s">
        <v>39</v>
      </c>
      <c r="F135" s="9" t="s">
        <v>13</v>
      </c>
      <c r="G135" s="9" t="s">
        <v>16</v>
      </c>
      <c r="H135" s="12" t="s">
        <v>69</v>
      </c>
      <c r="I135" s="5"/>
      <c r="J135" s="5"/>
      <c r="K135" s="5"/>
      <c r="L135" s="5"/>
    </row>
    <row r="136" spans="1:12" ht="29" x14ac:dyDescent="0.35">
      <c r="A136" s="5">
        <v>134</v>
      </c>
      <c r="B136" s="328"/>
      <c r="C136" s="9" t="s">
        <v>643</v>
      </c>
      <c r="D136" s="9" t="s">
        <v>79</v>
      </c>
      <c r="E136" s="10" t="s">
        <v>39</v>
      </c>
      <c r="F136" s="9" t="s">
        <v>31</v>
      </c>
      <c r="G136" s="9" t="s">
        <v>60</v>
      </c>
      <c r="H136" s="12" t="s">
        <v>69</v>
      </c>
      <c r="I136" s="5"/>
      <c r="J136" s="5"/>
      <c r="K136" s="5"/>
      <c r="L136" s="5"/>
    </row>
    <row r="137" spans="1:12" ht="29" x14ac:dyDescent="0.35">
      <c r="A137" s="5">
        <v>135</v>
      </c>
      <c r="B137" s="328"/>
      <c r="C137" s="9" t="s">
        <v>753</v>
      </c>
      <c r="D137" s="9" t="s">
        <v>80</v>
      </c>
      <c r="E137" s="10" t="s">
        <v>24</v>
      </c>
      <c r="F137" s="9"/>
      <c r="G137" s="9" t="s">
        <v>16</v>
      </c>
      <c r="H137" s="12" t="s">
        <v>71</v>
      </c>
      <c r="I137" s="105" t="s">
        <v>23</v>
      </c>
      <c r="J137" s="5"/>
      <c r="K137" s="5"/>
      <c r="L137" s="5"/>
    </row>
    <row r="138" spans="1:12" x14ac:dyDescent="0.35">
      <c r="A138" s="5">
        <v>136</v>
      </c>
      <c r="B138" s="328"/>
      <c r="C138" s="9" t="s">
        <v>759</v>
      </c>
      <c r="D138" s="9"/>
      <c r="E138" s="10" t="s">
        <v>42</v>
      </c>
      <c r="F138" s="9" t="s">
        <v>13</v>
      </c>
      <c r="G138" s="9" t="s">
        <v>26</v>
      </c>
      <c r="H138" s="12" t="s">
        <v>69</v>
      </c>
      <c r="I138" s="105" t="s">
        <v>23</v>
      </c>
      <c r="J138" s="5"/>
      <c r="K138" s="5"/>
      <c r="L138" s="5"/>
    </row>
    <row r="139" spans="1:12" ht="29" x14ac:dyDescent="0.35">
      <c r="A139" s="5">
        <v>137</v>
      </c>
      <c r="B139" s="328"/>
      <c r="C139" s="9" t="s">
        <v>758</v>
      </c>
      <c r="D139" s="9" t="s">
        <v>81</v>
      </c>
      <c r="E139" s="10" t="s">
        <v>49</v>
      </c>
      <c r="F139" s="9" t="s">
        <v>31</v>
      </c>
      <c r="G139" s="9" t="s">
        <v>16</v>
      </c>
      <c r="H139" s="12" t="s">
        <v>69</v>
      </c>
      <c r="I139" s="105" t="s">
        <v>23</v>
      </c>
      <c r="J139" s="5"/>
      <c r="K139" s="5"/>
      <c r="L139" s="5"/>
    </row>
    <row r="140" spans="1:12" ht="16" x14ac:dyDescent="0.4">
      <c r="A140" s="5">
        <v>138</v>
      </c>
      <c r="B140" s="328"/>
      <c r="C140" s="301" t="s">
        <v>760</v>
      </c>
      <c r="D140" s="9"/>
      <c r="E140" s="10" t="s">
        <v>49</v>
      </c>
      <c r="F140" s="9" t="s">
        <v>13</v>
      </c>
      <c r="G140" s="9" t="s">
        <v>44</v>
      </c>
      <c r="H140" s="12" t="s">
        <v>69</v>
      </c>
      <c r="I140" s="105" t="s">
        <v>23</v>
      </c>
      <c r="J140" s="5"/>
      <c r="K140" s="5"/>
      <c r="L140" s="5"/>
    </row>
    <row r="141" spans="1:12" ht="29.5" x14ac:dyDescent="0.4">
      <c r="A141" s="5">
        <v>139</v>
      </c>
      <c r="B141" s="328"/>
      <c r="C141" s="301" t="s">
        <v>761</v>
      </c>
      <c r="D141" s="9"/>
      <c r="E141" s="10" t="s">
        <v>12</v>
      </c>
      <c r="F141" s="9" t="s">
        <v>25</v>
      </c>
      <c r="G141" s="9" t="s">
        <v>26</v>
      </c>
      <c r="H141" s="12" t="s">
        <v>69</v>
      </c>
      <c r="I141" s="5"/>
      <c r="J141" s="5"/>
      <c r="K141" s="5"/>
      <c r="L141" s="5"/>
    </row>
    <row r="142" spans="1:12" x14ac:dyDescent="0.35">
      <c r="A142" s="5">
        <v>140</v>
      </c>
      <c r="B142" s="328"/>
      <c r="C142" s="9" t="s">
        <v>762</v>
      </c>
      <c r="D142" s="9"/>
      <c r="E142" s="10" t="s">
        <v>12</v>
      </c>
      <c r="F142" s="9" t="s">
        <v>16</v>
      </c>
      <c r="G142" s="9" t="s">
        <v>63</v>
      </c>
      <c r="H142" s="12" t="s">
        <v>27</v>
      </c>
      <c r="I142" s="105" t="s">
        <v>74</v>
      </c>
      <c r="J142" s="5"/>
      <c r="K142" s="5"/>
      <c r="L142" s="5"/>
    </row>
    <row r="143" spans="1:12" x14ac:dyDescent="0.35">
      <c r="A143" s="5">
        <v>141</v>
      </c>
      <c r="B143" s="328"/>
      <c r="C143" s="9" t="s">
        <v>763</v>
      </c>
      <c r="D143" s="9"/>
      <c r="E143" s="10" t="s">
        <v>42</v>
      </c>
      <c r="F143" s="9" t="s">
        <v>13</v>
      </c>
      <c r="G143" s="9" t="s">
        <v>26</v>
      </c>
      <c r="H143" s="12" t="s">
        <v>69</v>
      </c>
      <c r="I143" s="5"/>
      <c r="J143" s="5"/>
      <c r="K143" s="5"/>
      <c r="L143" s="5"/>
    </row>
    <row r="144" spans="1:12" x14ac:dyDescent="0.35">
      <c r="A144" s="5">
        <v>142</v>
      </c>
      <c r="B144" s="328"/>
      <c r="C144" s="9" t="s">
        <v>764</v>
      </c>
      <c r="D144" s="9" t="s">
        <v>82</v>
      </c>
      <c r="E144" s="10" t="s">
        <v>39</v>
      </c>
      <c r="F144" s="9" t="s">
        <v>16</v>
      </c>
      <c r="G144" s="9" t="s">
        <v>50</v>
      </c>
      <c r="H144" s="12" t="s">
        <v>27</v>
      </c>
      <c r="I144" s="105" t="s">
        <v>23</v>
      </c>
      <c r="J144" s="5"/>
      <c r="K144" s="5"/>
      <c r="L144" s="5"/>
    </row>
    <row r="145" spans="1:12" ht="29" x14ac:dyDescent="0.35">
      <c r="A145" s="5">
        <v>143</v>
      </c>
      <c r="B145" s="328"/>
      <c r="C145" s="9" t="s">
        <v>661</v>
      </c>
      <c r="D145" s="9" t="s">
        <v>83</v>
      </c>
      <c r="E145" s="10" t="s">
        <v>30</v>
      </c>
      <c r="F145" s="9" t="s">
        <v>31</v>
      </c>
      <c r="G145" s="9" t="s">
        <v>64</v>
      </c>
      <c r="H145" s="12" t="s">
        <v>71</v>
      </c>
      <c r="I145" s="5"/>
      <c r="J145" s="5"/>
      <c r="K145" s="5"/>
      <c r="L145" s="5"/>
    </row>
    <row r="146" spans="1:12" x14ac:dyDescent="0.35">
      <c r="A146" s="5">
        <v>144</v>
      </c>
      <c r="B146" s="328"/>
      <c r="C146" s="9" t="s">
        <v>765</v>
      </c>
      <c r="D146" s="9"/>
      <c r="E146" s="10" t="s">
        <v>30</v>
      </c>
      <c r="F146" s="9" t="s">
        <v>13</v>
      </c>
      <c r="G146" s="9" t="s">
        <v>29</v>
      </c>
      <c r="H146" s="12"/>
      <c r="I146" s="5"/>
      <c r="J146" s="5"/>
      <c r="K146" s="5"/>
      <c r="L146" s="5"/>
    </row>
    <row r="147" spans="1:12" ht="29" x14ac:dyDescent="0.35">
      <c r="A147" s="5">
        <v>145</v>
      </c>
      <c r="B147" s="328"/>
      <c r="C147" s="9" t="s">
        <v>766</v>
      </c>
      <c r="D147" s="9"/>
      <c r="E147" s="10" t="s">
        <v>49</v>
      </c>
      <c r="F147" s="9" t="s">
        <v>25</v>
      </c>
      <c r="G147" s="9" t="s">
        <v>16</v>
      </c>
      <c r="H147" s="12" t="s">
        <v>69</v>
      </c>
      <c r="I147" s="105" t="s">
        <v>23</v>
      </c>
      <c r="J147" s="5"/>
      <c r="K147" s="5"/>
      <c r="L147" s="5"/>
    </row>
    <row r="148" spans="1:12" x14ac:dyDescent="0.35">
      <c r="A148" s="5">
        <v>146</v>
      </c>
      <c r="B148" s="328"/>
      <c r="C148" s="9" t="s">
        <v>767</v>
      </c>
      <c r="D148" s="9"/>
      <c r="E148" s="10" t="s">
        <v>35</v>
      </c>
      <c r="F148" s="9" t="s">
        <v>13</v>
      </c>
      <c r="G148" s="9" t="s">
        <v>29</v>
      </c>
      <c r="H148" s="12" t="s">
        <v>69</v>
      </c>
      <c r="I148" s="105" t="s">
        <v>23</v>
      </c>
      <c r="J148" s="5"/>
      <c r="K148" s="5"/>
      <c r="L148" s="5"/>
    </row>
    <row r="149" spans="1:12" ht="29" x14ac:dyDescent="0.35">
      <c r="A149" s="5">
        <v>147</v>
      </c>
      <c r="B149" s="328"/>
      <c r="C149" s="9" t="s">
        <v>768</v>
      </c>
      <c r="D149" s="9"/>
      <c r="E149" s="10" t="s">
        <v>39</v>
      </c>
      <c r="F149" s="9" t="s">
        <v>31</v>
      </c>
      <c r="G149" s="9" t="s">
        <v>21</v>
      </c>
      <c r="H149" s="12" t="s">
        <v>27</v>
      </c>
      <c r="I149" s="105" t="s">
        <v>23</v>
      </c>
      <c r="J149" s="5"/>
      <c r="K149" s="5"/>
      <c r="L149" s="5"/>
    </row>
    <row r="150" spans="1:12" ht="29" x14ac:dyDescent="0.35">
      <c r="A150" s="5">
        <v>148</v>
      </c>
      <c r="B150" s="328"/>
      <c r="C150" s="9" t="s">
        <v>769</v>
      </c>
      <c r="D150" s="9"/>
      <c r="E150" s="10" t="s">
        <v>42</v>
      </c>
      <c r="F150" s="9" t="s">
        <v>31</v>
      </c>
      <c r="G150" s="9" t="s">
        <v>29</v>
      </c>
      <c r="H150" s="12" t="s">
        <v>71</v>
      </c>
      <c r="I150" s="105" t="s">
        <v>23</v>
      </c>
      <c r="J150" s="5"/>
      <c r="K150" s="5"/>
      <c r="L150" s="5"/>
    </row>
    <row r="151" spans="1:12" ht="29" x14ac:dyDescent="0.35">
      <c r="A151" s="5">
        <v>149</v>
      </c>
      <c r="B151" s="328"/>
      <c r="C151" s="9" t="s">
        <v>661</v>
      </c>
      <c r="D151" s="9" t="s">
        <v>84</v>
      </c>
      <c r="E151" s="10" t="s">
        <v>30</v>
      </c>
      <c r="F151" s="9" t="s">
        <v>16</v>
      </c>
      <c r="G151" s="9" t="s">
        <v>20</v>
      </c>
      <c r="H151" s="12"/>
      <c r="I151" s="5"/>
      <c r="J151" s="5"/>
      <c r="K151" s="5"/>
      <c r="L151" s="5"/>
    </row>
    <row r="152" spans="1:12" ht="29" x14ac:dyDescent="0.35">
      <c r="A152" s="5">
        <v>150</v>
      </c>
      <c r="B152" s="328"/>
      <c r="C152" s="9" t="s">
        <v>770</v>
      </c>
      <c r="D152" s="9"/>
      <c r="E152" s="10" t="s">
        <v>15</v>
      </c>
      <c r="F152" s="9" t="s">
        <v>31</v>
      </c>
      <c r="G152" s="9" t="s">
        <v>26</v>
      </c>
      <c r="H152" s="12" t="s">
        <v>69</v>
      </c>
      <c r="I152" s="105" t="s">
        <v>23</v>
      </c>
      <c r="J152" s="5"/>
      <c r="K152" s="5"/>
      <c r="L152" s="5"/>
    </row>
    <row r="153" spans="1:12" ht="29.5" thickBot="1" x14ac:dyDescent="0.4">
      <c r="A153" s="116">
        <v>151</v>
      </c>
      <c r="B153" s="329"/>
      <c r="C153" s="107" t="s">
        <v>771</v>
      </c>
      <c r="D153" s="107"/>
      <c r="E153" s="108" t="s">
        <v>30</v>
      </c>
      <c r="F153" s="107" t="s">
        <v>31</v>
      </c>
      <c r="G153" s="107" t="s">
        <v>50</v>
      </c>
      <c r="H153" s="12" t="s">
        <v>69</v>
      </c>
      <c r="I153" s="116"/>
      <c r="J153" s="116"/>
      <c r="K153" s="116"/>
      <c r="L153" s="116"/>
    </row>
    <row r="154" spans="1:12" ht="29" x14ac:dyDescent="0.35">
      <c r="A154" s="5">
        <v>152</v>
      </c>
      <c r="B154" s="323">
        <v>46235</v>
      </c>
      <c r="C154" s="241" t="s">
        <v>772</v>
      </c>
      <c r="D154" s="241"/>
      <c r="E154" s="242" t="s">
        <v>30</v>
      </c>
      <c r="F154" s="241" t="s">
        <v>31</v>
      </c>
      <c r="G154" s="241" t="s">
        <v>16</v>
      </c>
      <c r="H154" s="12" t="s">
        <v>27</v>
      </c>
      <c r="I154" s="231"/>
      <c r="J154" s="231"/>
      <c r="K154" s="5"/>
      <c r="L154" s="5"/>
    </row>
    <row r="155" spans="1:12" ht="29" x14ac:dyDescent="0.35">
      <c r="A155" s="116">
        <v>153</v>
      </c>
      <c r="B155" s="326"/>
      <c r="C155" s="9" t="s">
        <v>773</v>
      </c>
      <c r="D155" s="9"/>
      <c r="E155" s="10" t="s">
        <v>12</v>
      </c>
      <c r="F155" s="9" t="s">
        <v>25</v>
      </c>
      <c r="G155" s="9" t="s">
        <v>16</v>
      </c>
      <c r="H155" s="12" t="s">
        <v>69</v>
      </c>
      <c r="I155" s="105" t="s">
        <v>23</v>
      </c>
      <c r="J155" s="5"/>
      <c r="K155" s="5"/>
      <c r="L155" s="5"/>
    </row>
    <row r="156" spans="1:12" ht="29" x14ac:dyDescent="0.35">
      <c r="A156" s="5">
        <v>154</v>
      </c>
      <c r="B156" s="326"/>
      <c r="C156" s="9" t="s">
        <v>774</v>
      </c>
      <c r="D156" s="9"/>
      <c r="E156" s="108" t="s">
        <v>49</v>
      </c>
      <c r="F156" s="9" t="s">
        <v>25</v>
      </c>
      <c r="G156" s="9" t="s">
        <v>29</v>
      </c>
      <c r="H156" s="12" t="s">
        <v>71</v>
      </c>
      <c r="I156" s="105" t="s">
        <v>23</v>
      </c>
      <c r="J156" s="5"/>
      <c r="K156" s="5"/>
      <c r="L156" s="5"/>
    </row>
    <row r="157" spans="1:12" ht="29" x14ac:dyDescent="0.35">
      <c r="A157" s="116">
        <v>155</v>
      </c>
      <c r="B157" s="326"/>
      <c r="C157" s="9" t="s">
        <v>775</v>
      </c>
      <c r="D157" s="9"/>
      <c r="E157" s="10" t="s">
        <v>42</v>
      </c>
      <c r="F157" s="9" t="s">
        <v>25</v>
      </c>
      <c r="G157" s="9" t="s">
        <v>21</v>
      </c>
      <c r="H157" s="12" t="s">
        <v>69</v>
      </c>
      <c r="I157" s="105" t="s">
        <v>23</v>
      </c>
      <c r="J157" s="5"/>
      <c r="K157" s="5"/>
      <c r="L157" s="5"/>
    </row>
    <row r="158" spans="1:12" ht="29" x14ac:dyDescent="0.35">
      <c r="A158" s="5">
        <v>156</v>
      </c>
      <c r="B158" s="326"/>
      <c r="C158" s="9" t="s">
        <v>776</v>
      </c>
      <c r="D158" s="9"/>
      <c r="E158" s="10" t="s">
        <v>30</v>
      </c>
      <c r="F158" s="9" t="s">
        <v>13</v>
      </c>
      <c r="G158" s="9" t="s">
        <v>29</v>
      </c>
      <c r="H158" s="12" t="s">
        <v>71</v>
      </c>
      <c r="I158" s="105" t="s">
        <v>23</v>
      </c>
      <c r="J158" s="5"/>
      <c r="K158" s="5"/>
      <c r="L158" s="5"/>
    </row>
    <row r="159" spans="1:12" ht="29" x14ac:dyDescent="0.35">
      <c r="A159" s="116">
        <v>157</v>
      </c>
      <c r="B159" s="326"/>
      <c r="C159" s="9" t="s">
        <v>732</v>
      </c>
      <c r="D159" s="9" t="s">
        <v>732</v>
      </c>
      <c r="E159" s="10" t="s">
        <v>30</v>
      </c>
      <c r="F159" s="9" t="s">
        <v>31</v>
      </c>
      <c r="G159" s="9" t="s">
        <v>20</v>
      </c>
      <c r="H159" s="12" t="s">
        <v>71</v>
      </c>
      <c r="I159" s="105" t="s">
        <v>23</v>
      </c>
      <c r="J159" s="5"/>
      <c r="K159" s="5"/>
      <c r="L159" s="5"/>
    </row>
    <row r="160" spans="1:12" ht="29" x14ac:dyDescent="0.35">
      <c r="A160" s="5">
        <v>158</v>
      </c>
      <c r="B160" s="326"/>
      <c r="C160" s="9" t="s">
        <v>777</v>
      </c>
      <c r="D160" s="9"/>
      <c r="E160" s="10" t="s">
        <v>12</v>
      </c>
      <c r="F160" s="9" t="s">
        <v>25</v>
      </c>
      <c r="G160" s="9" t="s">
        <v>26</v>
      </c>
      <c r="H160" s="12" t="s">
        <v>27</v>
      </c>
      <c r="I160" s="105" t="s">
        <v>23</v>
      </c>
      <c r="J160" s="5"/>
      <c r="K160" s="5"/>
      <c r="L160" s="5"/>
    </row>
    <row r="161" spans="1:12" ht="15" thickBot="1" x14ac:dyDescent="0.4">
      <c r="A161" s="116">
        <v>159</v>
      </c>
      <c r="B161" s="326"/>
      <c r="C161" s="107" t="s">
        <v>778</v>
      </c>
      <c r="D161" s="107"/>
      <c r="E161" s="108" t="s">
        <v>49</v>
      </c>
      <c r="F161" s="107" t="s">
        <v>13</v>
      </c>
      <c r="G161" s="107" t="s">
        <v>16</v>
      </c>
      <c r="H161" s="109" t="s">
        <v>27</v>
      </c>
      <c r="I161" s="125" t="s">
        <v>23</v>
      </c>
      <c r="J161" s="116"/>
      <c r="K161" s="116"/>
      <c r="L161" s="116"/>
    </row>
    <row r="162" spans="1:12" ht="29" x14ac:dyDescent="0.35">
      <c r="A162" s="231">
        <v>160</v>
      </c>
      <c r="B162" s="323">
        <v>46266</v>
      </c>
      <c r="C162" s="241" t="s">
        <v>779</v>
      </c>
      <c r="D162" s="241"/>
      <c r="E162" s="320" t="s">
        <v>49</v>
      </c>
      <c r="F162" s="241" t="s">
        <v>25</v>
      </c>
      <c r="G162" s="241" t="s">
        <v>29</v>
      </c>
      <c r="H162" s="321" t="s">
        <v>27</v>
      </c>
      <c r="I162" s="322" t="s">
        <v>23</v>
      </c>
      <c r="J162" s="231"/>
      <c r="K162" s="5"/>
      <c r="L162" s="5"/>
    </row>
    <row r="163" spans="1:12" x14ac:dyDescent="0.35">
      <c r="A163" s="116">
        <v>161</v>
      </c>
      <c r="B163" s="324"/>
      <c r="C163" s="9" t="s">
        <v>780</v>
      </c>
      <c r="D163" s="9"/>
      <c r="E163" s="10" t="s">
        <v>24</v>
      </c>
      <c r="F163" s="9" t="s">
        <v>13</v>
      </c>
      <c r="G163" s="9" t="s">
        <v>44</v>
      </c>
      <c r="H163" s="109" t="s">
        <v>27</v>
      </c>
      <c r="I163" s="125" t="s">
        <v>23</v>
      </c>
      <c r="J163" s="5"/>
      <c r="K163" s="5"/>
      <c r="L163" s="5"/>
    </row>
    <row r="164" spans="1:12" x14ac:dyDescent="0.35">
      <c r="A164" s="5">
        <v>162</v>
      </c>
      <c r="B164" s="324"/>
      <c r="C164" s="9" t="s">
        <v>781</v>
      </c>
      <c r="D164" s="9"/>
      <c r="E164" s="108" t="s">
        <v>49</v>
      </c>
      <c r="F164" s="9" t="s">
        <v>13</v>
      </c>
      <c r="G164" s="9" t="s">
        <v>26</v>
      </c>
      <c r="H164" s="109" t="s">
        <v>27</v>
      </c>
      <c r="I164" s="5"/>
      <c r="J164" s="5"/>
      <c r="K164" s="5"/>
      <c r="L164" s="5"/>
    </row>
    <row r="165" spans="1:12" ht="29" x14ac:dyDescent="0.35">
      <c r="A165" s="116">
        <v>163</v>
      </c>
      <c r="B165" s="324"/>
      <c r="C165" s="9" t="s">
        <v>782</v>
      </c>
      <c r="D165" s="9"/>
      <c r="E165" s="108" t="s">
        <v>49</v>
      </c>
      <c r="F165" s="9" t="s">
        <v>13</v>
      </c>
      <c r="G165" s="9" t="s">
        <v>26</v>
      </c>
      <c r="H165" s="12" t="s">
        <v>71</v>
      </c>
      <c r="I165" s="5"/>
      <c r="J165" s="5"/>
      <c r="K165" s="5"/>
      <c r="L165" s="5"/>
    </row>
    <row r="166" spans="1:12" x14ac:dyDescent="0.35">
      <c r="A166" s="5">
        <v>164</v>
      </c>
      <c r="B166" s="324"/>
      <c r="C166" s="9" t="s">
        <v>783</v>
      </c>
      <c r="D166" s="9"/>
      <c r="E166" s="10" t="s">
        <v>15</v>
      </c>
      <c r="F166" s="9" t="s">
        <v>16</v>
      </c>
      <c r="G166" s="9" t="s">
        <v>16</v>
      </c>
      <c r="H166" s="12" t="s">
        <v>69</v>
      </c>
      <c r="I166" s="5"/>
      <c r="J166" s="5"/>
      <c r="K166" s="5"/>
      <c r="L166" s="5"/>
    </row>
    <row r="167" spans="1:12" x14ac:dyDescent="0.35">
      <c r="A167" s="116">
        <v>165</v>
      </c>
      <c r="B167" s="324"/>
      <c r="C167" s="9" t="s">
        <v>784</v>
      </c>
      <c r="D167" s="9"/>
      <c r="E167" s="108" t="s">
        <v>49</v>
      </c>
      <c r="F167" s="9" t="s">
        <v>13</v>
      </c>
      <c r="G167" s="9" t="s">
        <v>29</v>
      </c>
      <c r="H167" s="109" t="s">
        <v>27</v>
      </c>
      <c r="I167" s="5"/>
      <c r="J167" s="5"/>
      <c r="K167" s="5"/>
      <c r="L167" s="5"/>
    </row>
    <row r="168" spans="1:12" ht="29" x14ac:dyDescent="0.35">
      <c r="A168" s="5">
        <v>166</v>
      </c>
      <c r="B168" s="324"/>
      <c r="C168" s="9" t="s">
        <v>684</v>
      </c>
      <c r="D168" s="9" t="s">
        <v>85</v>
      </c>
      <c r="E168" s="10" t="s">
        <v>12</v>
      </c>
      <c r="F168" s="9" t="s">
        <v>31</v>
      </c>
      <c r="G168" s="9" t="s">
        <v>21</v>
      </c>
      <c r="H168" s="12" t="s">
        <v>71</v>
      </c>
      <c r="I168" s="105" t="s">
        <v>23</v>
      </c>
      <c r="J168" s="5"/>
      <c r="K168" s="5"/>
      <c r="L168" s="5"/>
    </row>
    <row r="169" spans="1:12" x14ac:dyDescent="0.35">
      <c r="A169" s="116">
        <v>167</v>
      </c>
      <c r="B169" s="324"/>
      <c r="C169" s="9" t="s">
        <v>785</v>
      </c>
      <c r="D169" s="9"/>
      <c r="E169" s="108" t="s">
        <v>49</v>
      </c>
      <c r="F169" s="9" t="s">
        <v>13</v>
      </c>
      <c r="G169" s="9" t="s">
        <v>29</v>
      </c>
      <c r="H169" s="109" t="s">
        <v>27</v>
      </c>
      <c r="I169" s="105" t="s">
        <v>23</v>
      </c>
      <c r="J169" s="5"/>
      <c r="K169" s="5"/>
      <c r="L169" s="5"/>
    </row>
    <row r="170" spans="1:12" ht="29" x14ac:dyDescent="0.35">
      <c r="A170" s="5">
        <v>168</v>
      </c>
      <c r="B170" s="324"/>
      <c r="C170" s="9" t="s">
        <v>786</v>
      </c>
      <c r="D170" s="9"/>
      <c r="E170" s="10" t="s">
        <v>42</v>
      </c>
      <c r="F170" s="9" t="s">
        <v>25</v>
      </c>
      <c r="G170" s="9" t="s">
        <v>20</v>
      </c>
      <c r="H170" s="109" t="s">
        <v>27</v>
      </c>
      <c r="I170" s="105" t="s">
        <v>23</v>
      </c>
      <c r="J170" s="5"/>
      <c r="K170" s="5"/>
      <c r="L170" s="5"/>
    </row>
    <row r="171" spans="1:12" ht="29" x14ac:dyDescent="0.35">
      <c r="A171" s="116">
        <v>169</v>
      </c>
      <c r="B171" s="324"/>
      <c r="C171" s="9" t="s">
        <v>661</v>
      </c>
      <c r="D171" s="9" t="s">
        <v>661</v>
      </c>
      <c r="E171" s="10" t="s">
        <v>30</v>
      </c>
      <c r="F171" s="9" t="s">
        <v>31</v>
      </c>
      <c r="G171" s="9" t="s">
        <v>26</v>
      </c>
      <c r="H171" s="12" t="s">
        <v>71</v>
      </c>
      <c r="I171" s="105" t="s">
        <v>23</v>
      </c>
      <c r="J171" s="5"/>
      <c r="K171" s="5"/>
      <c r="L171" s="5"/>
    </row>
    <row r="172" spans="1:12" x14ac:dyDescent="0.35">
      <c r="A172" s="5">
        <v>170</v>
      </c>
      <c r="B172" s="324"/>
      <c r="C172" s="9" t="s">
        <v>787</v>
      </c>
      <c r="D172" s="9"/>
      <c r="E172" s="10" t="s">
        <v>30</v>
      </c>
      <c r="F172" s="9" t="s">
        <v>13</v>
      </c>
      <c r="G172" s="9" t="s">
        <v>29</v>
      </c>
      <c r="H172" s="12" t="s">
        <v>69</v>
      </c>
      <c r="I172" s="105" t="s">
        <v>23</v>
      </c>
      <c r="J172" s="5"/>
      <c r="K172" s="5"/>
      <c r="L172" s="5"/>
    </row>
    <row r="173" spans="1:12" ht="29" x14ac:dyDescent="0.35">
      <c r="A173" s="116">
        <v>171</v>
      </c>
      <c r="B173" s="324"/>
      <c r="C173" s="9" t="s">
        <v>788</v>
      </c>
      <c r="D173" s="9"/>
      <c r="E173" s="10" t="s">
        <v>24</v>
      </c>
      <c r="F173" s="9" t="s">
        <v>31</v>
      </c>
      <c r="G173" s="9" t="s">
        <v>26</v>
      </c>
      <c r="H173" s="12" t="s">
        <v>18</v>
      </c>
      <c r="I173" s="5"/>
      <c r="J173" s="5"/>
      <c r="K173" s="5"/>
      <c r="L173" s="5"/>
    </row>
    <row r="174" spans="1:12" ht="29" x14ac:dyDescent="0.35">
      <c r="A174" s="5">
        <v>172</v>
      </c>
      <c r="B174" s="324"/>
      <c r="C174" s="9" t="s">
        <v>789</v>
      </c>
      <c r="D174" s="9"/>
      <c r="E174" s="10" t="s">
        <v>12</v>
      </c>
      <c r="F174" s="9" t="s">
        <v>25</v>
      </c>
      <c r="G174" s="9" t="s">
        <v>29</v>
      </c>
      <c r="H174" s="109" t="s">
        <v>27</v>
      </c>
      <c r="I174" s="5"/>
      <c r="J174" s="5"/>
      <c r="K174" s="5"/>
      <c r="L174" s="5"/>
    </row>
    <row r="175" spans="1:12" ht="29" x14ac:dyDescent="0.35">
      <c r="A175" s="116">
        <v>173</v>
      </c>
      <c r="B175" s="324"/>
      <c r="C175" s="9" t="s">
        <v>790</v>
      </c>
      <c r="D175" s="9"/>
      <c r="E175" s="108" t="s">
        <v>49</v>
      </c>
      <c r="F175" s="9" t="s">
        <v>25</v>
      </c>
      <c r="G175" s="9" t="s">
        <v>26</v>
      </c>
      <c r="H175" s="12" t="s">
        <v>69</v>
      </c>
      <c r="I175" s="5"/>
      <c r="J175" s="5"/>
      <c r="K175" s="5"/>
      <c r="L175" s="5"/>
    </row>
    <row r="176" spans="1:12" ht="29" x14ac:dyDescent="0.35">
      <c r="A176" s="5">
        <v>174</v>
      </c>
      <c r="B176" s="324"/>
      <c r="C176" s="9" t="s">
        <v>791</v>
      </c>
      <c r="D176" s="9"/>
      <c r="E176" s="10" t="s">
        <v>42</v>
      </c>
      <c r="F176" s="9" t="s">
        <v>25</v>
      </c>
      <c r="G176" s="9" t="s">
        <v>20</v>
      </c>
      <c r="H176" s="109" t="s">
        <v>27</v>
      </c>
      <c r="I176" s="5"/>
      <c r="J176" s="5"/>
      <c r="K176" s="5"/>
      <c r="L176" s="5"/>
    </row>
    <row r="177" spans="1:12" ht="29" x14ac:dyDescent="0.35">
      <c r="A177" s="116">
        <v>175</v>
      </c>
      <c r="B177" s="324"/>
      <c r="C177" s="9" t="s">
        <v>792</v>
      </c>
      <c r="D177" s="9"/>
      <c r="E177" s="10" t="s">
        <v>30</v>
      </c>
      <c r="F177" s="9" t="s">
        <v>31</v>
      </c>
      <c r="G177" s="9" t="s">
        <v>60</v>
      </c>
      <c r="H177" s="109" t="s">
        <v>27</v>
      </c>
      <c r="I177" s="5"/>
      <c r="J177" s="5"/>
      <c r="K177" s="5"/>
      <c r="L177" s="5"/>
    </row>
    <row r="178" spans="1:12" ht="29" x14ac:dyDescent="0.35">
      <c r="A178" s="5">
        <v>176</v>
      </c>
      <c r="B178" s="324"/>
      <c r="C178" s="9" t="s">
        <v>793</v>
      </c>
      <c r="D178" s="9"/>
      <c r="E178" s="10" t="s">
        <v>30</v>
      </c>
      <c r="F178" s="9" t="s">
        <v>31</v>
      </c>
      <c r="G178" s="9" t="s">
        <v>26</v>
      </c>
      <c r="H178" s="109" t="s">
        <v>27</v>
      </c>
      <c r="I178" s="105" t="s">
        <v>23</v>
      </c>
      <c r="J178" s="5"/>
      <c r="K178" s="5"/>
      <c r="L178" s="5"/>
    </row>
    <row r="179" spans="1:12" ht="29" x14ac:dyDescent="0.35">
      <c r="A179" s="116">
        <v>177</v>
      </c>
      <c r="B179" s="324"/>
      <c r="C179" s="9" t="s">
        <v>794</v>
      </c>
      <c r="D179" s="9"/>
      <c r="E179" s="10" t="s">
        <v>42</v>
      </c>
      <c r="F179" s="9" t="s">
        <v>13</v>
      </c>
      <c r="G179" s="9" t="s">
        <v>26</v>
      </c>
      <c r="H179" s="12" t="s">
        <v>71</v>
      </c>
      <c r="I179" s="105" t="s">
        <v>23</v>
      </c>
      <c r="J179" s="5"/>
      <c r="K179" s="5"/>
      <c r="L179" s="5"/>
    </row>
    <row r="180" spans="1:12" x14ac:dyDescent="0.35">
      <c r="A180" s="5">
        <v>178</v>
      </c>
      <c r="B180" s="324"/>
      <c r="C180" s="9" t="s">
        <v>795</v>
      </c>
      <c r="D180" s="9"/>
      <c r="E180" s="10" t="s">
        <v>35</v>
      </c>
      <c r="F180" s="9" t="s">
        <v>13</v>
      </c>
      <c r="G180" s="9" t="s">
        <v>20</v>
      </c>
      <c r="H180" s="12" t="s">
        <v>69</v>
      </c>
      <c r="I180" s="105" t="s">
        <v>23</v>
      </c>
      <c r="J180" s="5"/>
      <c r="K180" s="5"/>
      <c r="L180" s="5"/>
    </row>
    <row r="181" spans="1:12" x14ac:dyDescent="0.35">
      <c r="A181" s="116">
        <v>179</v>
      </c>
      <c r="B181" s="324"/>
      <c r="C181" s="9" t="s">
        <v>796</v>
      </c>
      <c r="D181" s="9"/>
      <c r="E181" s="10" t="s">
        <v>39</v>
      </c>
      <c r="F181" s="9" t="s">
        <v>13</v>
      </c>
      <c r="G181" s="9" t="s">
        <v>60</v>
      </c>
      <c r="H181" s="109" t="s">
        <v>27</v>
      </c>
      <c r="I181" s="105" t="s">
        <v>23</v>
      </c>
      <c r="J181" s="5"/>
      <c r="K181" s="5"/>
      <c r="L181" s="5"/>
    </row>
    <row r="182" spans="1:12" ht="29" x14ac:dyDescent="0.35">
      <c r="A182" s="5">
        <v>180</v>
      </c>
      <c r="B182" s="324"/>
      <c r="C182" s="9" t="s">
        <v>797</v>
      </c>
      <c r="D182" s="9" t="s">
        <v>86</v>
      </c>
      <c r="E182" s="10" t="s">
        <v>42</v>
      </c>
      <c r="F182" s="9" t="s">
        <v>25</v>
      </c>
      <c r="G182" s="9" t="s">
        <v>26</v>
      </c>
      <c r="H182" s="109" t="s">
        <v>27</v>
      </c>
      <c r="I182" s="105" t="s">
        <v>23</v>
      </c>
      <c r="J182" s="5"/>
      <c r="K182" s="5"/>
      <c r="L182" s="5"/>
    </row>
    <row r="183" spans="1:12" ht="29" x14ac:dyDescent="0.35">
      <c r="A183" s="116">
        <v>181</v>
      </c>
      <c r="B183" s="324"/>
      <c r="C183" s="9" t="s">
        <v>797</v>
      </c>
      <c r="D183" s="9" t="s">
        <v>87</v>
      </c>
      <c r="E183" s="10" t="s">
        <v>24</v>
      </c>
      <c r="F183" s="9" t="s">
        <v>25</v>
      </c>
      <c r="G183" s="9" t="s">
        <v>26</v>
      </c>
      <c r="H183" s="109" t="s">
        <v>27</v>
      </c>
      <c r="I183" s="5"/>
      <c r="J183" s="5"/>
      <c r="K183" s="5"/>
      <c r="L183" s="5"/>
    </row>
    <row r="184" spans="1:12" x14ac:dyDescent="0.35">
      <c r="A184" s="5">
        <v>182</v>
      </c>
      <c r="B184" s="324"/>
      <c r="C184" s="9" t="s">
        <v>798</v>
      </c>
      <c r="D184" s="9"/>
      <c r="E184" s="10" t="s">
        <v>30</v>
      </c>
      <c r="F184" s="9" t="s">
        <v>13</v>
      </c>
      <c r="G184" s="9" t="s">
        <v>29</v>
      </c>
      <c r="H184" s="109" t="s">
        <v>27</v>
      </c>
      <c r="I184" s="5"/>
      <c r="J184" s="5"/>
      <c r="K184" s="5"/>
      <c r="L184" s="5"/>
    </row>
    <row r="185" spans="1:12" ht="29" x14ac:dyDescent="0.35">
      <c r="A185" s="116">
        <v>183</v>
      </c>
      <c r="B185" s="324"/>
      <c r="C185" s="9" t="s">
        <v>799</v>
      </c>
      <c r="D185" s="9"/>
      <c r="E185" s="108" t="s">
        <v>49</v>
      </c>
      <c r="F185" s="9" t="s">
        <v>13</v>
      </c>
      <c r="G185" s="9" t="s">
        <v>70</v>
      </c>
      <c r="H185" s="12" t="s">
        <v>71</v>
      </c>
      <c r="I185" s="5"/>
      <c r="J185" s="5"/>
      <c r="K185" s="5"/>
      <c r="L185" s="5"/>
    </row>
    <row r="186" spans="1:12" ht="29" x14ac:dyDescent="0.35">
      <c r="A186" s="5">
        <v>184</v>
      </c>
      <c r="B186" s="324"/>
      <c r="C186" s="9" t="s">
        <v>800</v>
      </c>
      <c r="D186" s="9"/>
      <c r="E186" s="10" t="s">
        <v>30</v>
      </c>
      <c r="F186" s="9" t="s">
        <v>31</v>
      </c>
      <c r="G186" s="9" t="s">
        <v>50</v>
      </c>
      <c r="H186" s="109" t="s">
        <v>27</v>
      </c>
      <c r="I186" s="5"/>
      <c r="J186" s="5"/>
      <c r="K186" s="5"/>
      <c r="L186" s="5"/>
    </row>
    <row r="187" spans="1:12" ht="29.5" thickBot="1" x14ac:dyDescent="0.4">
      <c r="A187" s="252">
        <v>185</v>
      </c>
      <c r="B187" s="325"/>
      <c r="C187" s="248" t="s">
        <v>801</v>
      </c>
      <c r="D187" s="248"/>
      <c r="E187" s="249" t="s">
        <v>15</v>
      </c>
      <c r="F187" s="248" t="s">
        <v>31</v>
      </c>
      <c r="G187" s="248" t="s">
        <v>26</v>
      </c>
      <c r="H187" s="251" t="s">
        <v>27</v>
      </c>
      <c r="I187" s="252"/>
      <c r="J187" s="252"/>
      <c r="K187" s="252"/>
      <c r="L187" s="252"/>
    </row>
    <row r="188" spans="1:12" x14ac:dyDescent="0.35">
      <c r="A188" s="159">
        <v>186</v>
      </c>
      <c r="B188" s="159"/>
      <c r="C188" s="317"/>
      <c r="D188" s="317"/>
      <c r="E188" s="318"/>
      <c r="F188" s="317"/>
      <c r="G188" s="317"/>
      <c r="H188" s="319"/>
      <c r="I188" s="159"/>
      <c r="J188" s="159"/>
      <c r="K188" s="5"/>
      <c r="L188" s="5"/>
    </row>
    <row r="189" spans="1:12" x14ac:dyDescent="0.35">
      <c r="A189" s="116">
        <v>187</v>
      </c>
      <c r="B189" s="5"/>
      <c r="C189" s="9"/>
      <c r="D189" s="9"/>
      <c r="E189" s="10"/>
      <c r="F189" s="9"/>
      <c r="G189" s="9"/>
      <c r="H189" s="12"/>
      <c r="I189" s="5"/>
      <c r="J189" s="5"/>
      <c r="K189" s="5"/>
      <c r="L189" s="5"/>
    </row>
    <row r="190" spans="1:12" x14ac:dyDescent="0.35">
      <c r="A190" s="5">
        <v>188</v>
      </c>
      <c r="B190" s="5"/>
      <c r="C190" s="9"/>
      <c r="D190" s="9"/>
      <c r="E190" s="10"/>
      <c r="F190" s="9"/>
      <c r="G190" s="9"/>
      <c r="H190" s="12"/>
      <c r="I190" s="5"/>
      <c r="J190" s="5"/>
      <c r="K190" s="5"/>
      <c r="L190" s="5"/>
    </row>
    <row r="191" spans="1:12" x14ac:dyDescent="0.35">
      <c r="A191" s="116">
        <v>189</v>
      </c>
      <c r="B191" s="5"/>
      <c r="C191" s="9"/>
      <c r="D191" s="9"/>
      <c r="E191" s="10"/>
      <c r="F191" s="9"/>
      <c r="G191" s="9"/>
      <c r="H191" s="12"/>
      <c r="I191" s="5"/>
      <c r="J191" s="5"/>
      <c r="K191" s="5"/>
      <c r="L191" s="5"/>
    </row>
    <row r="192" spans="1:12" x14ac:dyDescent="0.35">
      <c r="A192" s="5">
        <v>190</v>
      </c>
      <c r="B192" s="5"/>
      <c r="C192" s="9"/>
      <c r="D192" s="9"/>
      <c r="E192" s="10"/>
      <c r="F192" s="9"/>
      <c r="G192" s="9"/>
      <c r="H192" s="12"/>
      <c r="I192" s="5"/>
      <c r="J192" s="5"/>
      <c r="K192" s="5"/>
      <c r="L192" s="5"/>
    </row>
    <row r="193" spans="1:12" x14ac:dyDescent="0.35">
      <c r="A193" s="116">
        <v>191</v>
      </c>
      <c r="B193" s="5"/>
      <c r="C193" s="9"/>
      <c r="D193" s="9"/>
      <c r="E193" s="10"/>
      <c r="F193" s="9"/>
      <c r="G193" s="9"/>
      <c r="H193" s="12"/>
      <c r="I193" s="5"/>
      <c r="J193" s="5"/>
      <c r="K193" s="5"/>
      <c r="L193" s="5"/>
    </row>
    <row r="194" spans="1:12" x14ac:dyDescent="0.35">
      <c r="A194" s="5">
        <v>192</v>
      </c>
      <c r="B194" s="5"/>
      <c r="C194" s="9"/>
      <c r="D194" s="9"/>
      <c r="E194" s="10"/>
      <c r="F194" s="9"/>
      <c r="G194" s="9"/>
      <c r="H194" s="12"/>
      <c r="I194" s="5"/>
      <c r="J194" s="5"/>
      <c r="K194" s="5"/>
      <c r="L194" s="5"/>
    </row>
    <row r="195" spans="1:12" x14ac:dyDescent="0.35">
      <c r="A195" s="116">
        <v>193</v>
      </c>
      <c r="B195" s="5"/>
      <c r="C195" s="9"/>
      <c r="D195" s="9"/>
      <c r="E195" s="10"/>
      <c r="F195" s="9"/>
      <c r="G195" s="9"/>
      <c r="H195" s="12"/>
      <c r="I195" s="5"/>
      <c r="J195" s="5"/>
      <c r="K195" s="5"/>
      <c r="L195" s="5"/>
    </row>
    <row r="196" spans="1:12" x14ac:dyDescent="0.35">
      <c r="A196" s="5">
        <v>194</v>
      </c>
      <c r="B196" s="5"/>
      <c r="C196" s="9"/>
      <c r="D196" s="9"/>
      <c r="E196" s="10"/>
      <c r="F196" s="9"/>
      <c r="G196" s="9"/>
      <c r="H196" s="12"/>
      <c r="I196" s="5"/>
      <c r="J196" s="5"/>
      <c r="K196" s="5"/>
      <c r="L196" s="5"/>
    </row>
    <row r="197" spans="1:12" x14ac:dyDescent="0.35">
      <c r="A197" s="116">
        <v>195</v>
      </c>
      <c r="B197" s="5"/>
      <c r="C197" s="9"/>
      <c r="D197" s="9"/>
      <c r="E197" s="10"/>
      <c r="F197" s="9"/>
      <c r="G197" s="9"/>
      <c r="H197" s="12"/>
      <c r="I197" s="5"/>
      <c r="J197" s="5"/>
      <c r="K197" s="5"/>
      <c r="L197" s="5"/>
    </row>
    <row r="198" spans="1:12" x14ac:dyDescent="0.35">
      <c r="A198" s="5">
        <v>196</v>
      </c>
      <c r="B198" s="5"/>
      <c r="C198" s="9"/>
      <c r="D198" s="9"/>
      <c r="E198" s="10"/>
      <c r="F198" s="9"/>
      <c r="G198" s="9"/>
      <c r="H198" s="12"/>
      <c r="I198" s="5"/>
      <c r="J198" s="5"/>
      <c r="K198" s="5"/>
      <c r="L198" s="5"/>
    </row>
    <row r="199" spans="1:12" x14ac:dyDescent="0.35">
      <c r="A199" s="116">
        <v>197</v>
      </c>
      <c r="B199" s="5"/>
      <c r="C199" s="9"/>
      <c r="D199" s="9"/>
      <c r="E199" s="10"/>
      <c r="F199" s="9"/>
      <c r="G199" s="9"/>
      <c r="H199" s="12"/>
      <c r="I199" s="5"/>
      <c r="J199" s="5"/>
      <c r="K199" s="5"/>
      <c r="L199" s="5"/>
    </row>
    <row r="200" spans="1:12" x14ac:dyDescent="0.35">
      <c r="A200" s="5">
        <v>198</v>
      </c>
      <c r="B200" s="5"/>
      <c r="C200" s="9"/>
      <c r="D200" s="9"/>
      <c r="E200" s="10"/>
      <c r="F200" s="9"/>
      <c r="G200" s="9"/>
      <c r="H200" s="12"/>
      <c r="I200" s="5"/>
      <c r="J200" s="5"/>
      <c r="K200" s="5"/>
      <c r="L200" s="5"/>
    </row>
    <row r="201" spans="1:12" x14ac:dyDescent="0.35">
      <c r="A201" s="116">
        <v>199</v>
      </c>
      <c r="B201" s="5"/>
      <c r="C201" s="9"/>
      <c r="D201" s="9"/>
      <c r="E201" s="10"/>
      <c r="F201" s="9"/>
      <c r="G201" s="9"/>
      <c r="H201" s="12"/>
      <c r="I201" s="5"/>
      <c r="J201" s="5"/>
      <c r="K201" s="5"/>
      <c r="L201" s="5"/>
    </row>
    <row r="202" spans="1:12" x14ac:dyDescent="0.35">
      <c r="A202" s="5">
        <v>200</v>
      </c>
      <c r="B202" s="5"/>
      <c r="C202" s="9"/>
      <c r="D202" s="9"/>
      <c r="E202" s="10"/>
      <c r="F202" s="9"/>
      <c r="G202" s="9"/>
      <c r="H202" s="12"/>
      <c r="I202" s="5"/>
      <c r="J202" s="5"/>
      <c r="K202" s="5"/>
      <c r="L202" s="5"/>
    </row>
  </sheetData>
  <mergeCells count="11">
    <mergeCell ref="B162:B187"/>
    <mergeCell ref="B154:B161"/>
    <mergeCell ref="B126:B153"/>
    <mergeCell ref="B3:B33"/>
    <mergeCell ref="B69:B88"/>
    <mergeCell ref="B89:B103"/>
    <mergeCell ref="B115:B122"/>
    <mergeCell ref="B123:B125"/>
    <mergeCell ref="B104:B114"/>
    <mergeCell ref="B45:B68"/>
    <mergeCell ref="B34:B44"/>
  </mergeCells>
  <phoneticPr fontId="3" type="noConversion"/>
  <conditionalFormatting sqref="C1:C139 C142:C1048576">
    <cfRule type="duplicateValues" dxfId="24" priority="1"/>
  </conditionalFormatting>
  <pageMargins left="0.7" right="0.7" top="0.75" bottom="0.75" header="0.3" footer="0.3"/>
  <pageSetup paperSize="9" orientation="portrait" r:id="rId1"/>
  <ignoredErrors>
    <ignoredError sqref="E55 E66 E41" twoDigitTextYear="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FEF31-68D5-4EA0-ABFD-1557036C2791}">
  <dimension ref="A1:CF105"/>
  <sheetViews>
    <sheetView workbookViewId="0">
      <pane ySplit="2" topLeftCell="A3" activePane="bottomLeft" state="frozen"/>
      <selection activeCell="AO1" sqref="AO1"/>
      <selection pane="bottomLeft" activeCell="F4" sqref="F4"/>
    </sheetView>
  </sheetViews>
  <sheetFormatPr defaultRowHeight="15" customHeight="1" x14ac:dyDescent="0.35"/>
  <cols>
    <col min="3" max="3" width="16.1796875" customWidth="1"/>
    <col min="4" max="5" width="22.54296875" customWidth="1"/>
    <col min="6" max="9" width="16.7265625" customWidth="1"/>
    <col min="10" max="10" width="13" customWidth="1"/>
    <col min="13" max="27" width="15.54296875" customWidth="1"/>
  </cols>
  <sheetData>
    <row r="1" spans="1:82" ht="33.65" customHeight="1" x14ac:dyDescent="0.45">
      <c r="A1" s="127" t="s">
        <v>0</v>
      </c>
      <c r="B1" s="127"/>
      <c r="D1" s="135"/>
      <c r="E1" s="135"/>
      <c r="F1" s="136"/>
      <c r="G1" s="135"/>
      <c r="H1" s="135"/>
      <c r="I1" s="137"/>
      <c r="J1" s="14"/>
      <c r="K1" s="134"/>
      <c r="L1" s="14"/>
      <c r="M1" s="337" t="s">
        <v>88</v>
      </c>
      <c r="N1" s="338"/>
      <c r="O1" s="338"/>
      <c r="P1" s="338"/>
      <c r="Q1" s="338"/>
      <c r="R1" s="338"/>
      <c r="S1" s="338"/>
      <c r="T1" s="338"/>
      <c r="U1" s="338"/>
      <c r="V1" s="338"/>
      <c r="W1" s="338"/>
      <c r="X1" s="338"/>
      <c r="Y1" s="338"/>
      <c r="Z1" s="338"/>
      <c r="AA1" s="338"/>
      <c r="AB1" s="346"/>
      <c r="AC1" s="347"/>
      <c r="AD1" s="132"/>
      <c r="AE1" s="336" t="s">
        <v>89</v>
      </c>
      <c r="AF1" s="336"/>
      <c r="AG1" s="336"/>
      <c r="AH1" s="336"/>
      <c r="AI1" s="336"/>
      <c r="AJ1" s="336"/>
      <c r="AK1" s="336"/>
      <c r="AL1" s="336"/>
      <c r="AM1" s="336"/>
      <c r="AN1" s="336"/>
      <c r="AO1" s="336"/>
      <c r="AP1" s="337" t="s">
        <v>90</v>
      </c>
      <c r="AQ1" s="338"/>
      <c r="AR1" s="338"/>
      <c r="AS1" s="338"/>
      <c r="AT1" s="338"/>
      <c r="AU1" s="338"/>
      <c r="AV1" s="338"/>
      <c r="AW1" s="338"/>
      <c r="AX1" s="339" t="s">
        <v>91</v>
      </c>
      <c r="AY1" s="340"/>
      <c r="AZ1" s="340"/>
      <c r="BA1" s="340"/>
      <c r="BB1" s="340"/>
      <c r="BC1" s="340"/>
      <c r="BD1" s="340"/>
      <c r="BE1" s="340"/>
      <c r="BF1" s="340"/>
      <c r="BG1" s="340"/>
      <c r="BH1" s="340"/>
      <c r="BI1" s="340"/>
      <c r="BJ1" s="340"/>
      <c r="BK1" s="341" t="s">
        <v>92</v>
      </c>
      <c r="BL1" s="342"/>
      <c r="BM1" s="342"/>
      <c r="BN1" s="342"/>
      <c r="BO1" s="342"/>
      <c r="BP1" s="342"/>
      <c r="BQ1" s="133"/>
      <c r="BR1" s="341" t="s">
        <v>93</v>
      </c>
      <c r="BS1" s="342"/>
      <c r="BT1" s="342"/>
      <c r="BU1" s="342"/>
      <c r="BV1" s="342"/>
      <c r="BW1" s="342"/>
      <c r="BX1" s="133"/>
      <c r="BY1" s="132"/>
      <c r="BZ1" s="133"/>
      <c r="CA1" s="132"/>
      <c r="CB1" s="133"/>
      <c r="CC1" s="132"/>
    </row>
    <row r="2" spans="1:82" s="1" customFormat="1" ht="27" customHeight="1" thickBot="1" x14ac:dyDescent="0.4">
      <c r="A2" s="303" t="s">
        <v>1</v>
      </c>
      <c r="B2" s="303" t="s">
        <v>94</v>
      </c>
      <c r="C2" s="172" t="s">
        <v>95</v>
      </c>
      <c r="D2" s="173" t="s">
        <v>96</v>
      </c>
      <c r="E2" s="173" t="s">
        <v>97</v>
      </c>
      <c r="F2" s="173" t="s">
        <v>4</v>
      </c>
      <c r="G2" s="173" t="s">
        <v>5</v>
      </c>
      <c r="H2" s="173" t="s">
        <v>6</v>
      </c>
      <c r="I2" s="173" t="s">
        <v>7</v>
      </c>
      <c r="J2" s="174" t="s">
        <v>98</v>
      </c>
      <c r="K2" s="173" t="s">
        <v>99</v>
      </c>
      <c r="L2" s="174" t="s">
        <v>100</v>
      </c>
      <c r="M2" s="175" t="s">
        <v>101</v>
      </c>
      <c r="N2" s="175" t="s">
        <v>102</v>
      </c>
      <c r="O2" s="175" t="s">
        <v>103</v>
      </c>
      <c r="P2" s="175" t="s">
        <v>104</v>
      </c>
      <c r="Q2" s="175" t="s">
        <v>105</v>
      </c>
      <c r="R2" s="175" t="s">
        <v>106</v>
      </c>
      <c r="S2" s="175" t="s">
        <v>107</v>
      </c>
      <c r="T2" s="175" t="s">
        <v>108</v>
      </c>
      <c r="U2" s="175" t="s">
        <v>109</v>
      </c>
      <c r="V2" s="175" t="s">
        <v>110</v>
      </c>
      <c r="W2" s="175" t="s">
        <v>111</v>
      </c>
      <c r="X2" s="175" t="s">
        <v>112</v>
      </c>
      <c r="Y2" s="175" t="s">
        <v>113</v>
      </c>
      <c r="Z2" s="175" t="s">
        <v>114</v>
      </c>
      <c r="AA2" s="175" t="s">
        <v>115</v>
      </c>
      <c r="AB2" s="174" t="s">
        <v>116</v>
      </c>
      <c r="AC2" s="174" t="s">
        <v>115</v>
      </c>
      <c r="AD2" s="173" t="s">
        <v>117</v>
      </c>
      <c r="AE2" s="176" t="s">
        <v>118</v>
      </c>
      <c r="AF2" s="176" t="s">
        <v>119</v>
      </c>
      <c r="AG2" s="176" t="s">
        <v>120</v>
      </c>
      <c r="AH2" s="176" t="s">
        <v>121</v>
      </c>
      <c r="AI2" s="176" t="s">
        <v>122</v>
      </c>
      <c r="AJ2" s="176" t="s">
        <v>123</v>
      </c>
      <c r="AK2" s="176" t="s">
        <v>124</v>
      </c>
      <c r="AL2" s="176" t="s">
        <v>125</v>
      </c>
      <c r="AM2" s="176" t="s">
        <v>126</v>
      </c>
      <c r="AN2" s="176" t="s">
        <v>113</v>
      </c>
      <c r="AO2" s="176" t="s">
        <v>115</v>
      </c>
      <c r="AP2" s="175" t="s">
        <v>127</v>
      </c>
      <c r="AQ2" s="175" t="s">
        <v>128</v>
      </c>
      <c r="AR2" s="175" t="s">
        <v>129</v>
      </c>
      <c r="AS2" s="175" t="s">
        <v>130</v>
      </c>
      <c r="AT2" s="175" t="s">
        <v>131</v>
      </c>
      <c r="AU2" s="175" t="s">
        <v>113</v>
      </c>
      <c r="AV2" s="175" t="s">
        <v>132</v>
      </c>
      <c r="AW2" s="175" t="s">
        <v>115</v>
      </c>
      <c r="AX2" s="176" t="s">
        <v>133</v>
      </c>
      <c r="AY2" s="176" t="s">
        <v>134</v>
      </c>
      <c r="AZ2" s="176" t="s">
        <v>135</v>
      </c>
      <c r="BA2" s="176" t="s">
        <v>121</v>
      </c>
      <c r="BB2" s="176" t="s">
        <v>136</v>
      </c>
      <c r="BC2" s="176" t="s">
        <v>137</v>
      </c>
      <c r="BD2" s="176" t="s">
        <v>138</v>
      </c>
      <c r="BE2" s="176" t="s">
        <v>139</v>
      </c>
      <c r="BF2" s="176" t="s">
        <v>140</v>
      </c>
      <c r="BG2" s="176" t="s">
        <v>141</v>
      </c>
      <c r="BH2" s="176" t="s">
        <v>113</v>
      </c>
      <c r="BI2" s="176" t="s">
        <v>132</v>
      </c>
      <c r="BJ2" s="176" t="s">
        <v>115</v>
      </c>
      <c r="BK2" s="175" t="s">
        <v>142</v>
      </c>
      <c r="BL2" s="175" t="s">
        <v>143</v>
      </c>
      <c r="BM2" s="175" t="s">
        <v>144</v>
      </c>
      <c r="BN2" s="175" t="s">
        <v>145</v>
      </c>
      <c r="BO2" s="175" t="s">
        <v>113</v>
      </c>
      <c r="BP2" s="175" t="s">
        <v>115</v>
      </c>
      <c r="BQ2" s="174" t="s">
        <v>146</v>
      </c>
      <c r="BR2" s="175" t="s">
        <v>147</v>
      </c>
      <c r="BS2" s="175" t="s">
        <v>148</v>
      </c>
      <c r="BT2" s="175" t="s">
        <v>149</v>
      </c>
      <c r="BU2" s="175" t="s">
        <v>150</v>
      </c>
      <c r="BV2" s="175" t="s">
        <v>113</v>
      </c>
      <c r="BW2" s="175" t="s">
        <v>115</v>
      </c>
      <c r="BX2" s="174" t="s">
        <v>151</v>
      </c>
      <c r="BY2" s="173" t="s">
        <v>152</v>
      </c>
      <c r="BZ2" s="174" t="s">
        <v>153</v>
      </c>
      <c r="CA2" s="173" t="s">
        <v>154</v>
      </c>
      <c r="CB2" s="174" t="s">
        <v>155</v>
      </c>
      <c r="CC2" s="173" t="s">
        <v>156</v>
      </c>
    </row>
    <row r="3" spans="1:82" s="1" customFormat="1" ht="27" customHeight="1" x14ac:dyDescent="0.35">
      <c r="A3" s="5">
        <v>103</v>
      </c>
      <c r="B3" s="350">
        <v>46266</v>
      </c>
      <c r="C3" s="123">
        <v>46273.681250000001</v>
      </c>
      <c r="D3" s="228" t="s">
        <v>634</v>
      </c>
      <c r="E3" s="178"/>
      <c r="F3" s="242" t="s">
        <v>30</v>
      </c>
      <c r="G3" s="241" t="s">
        <v>16</v>
      </c>
      <c r="H3" s="241" t="s">
        <v>16</v>
      </c>
      <c r="I3" s="243" t="s">
        <v>27</v>
      </c>
      <c r="J3" s="5" t="s">
        <v>157</v>
      </c>
      <c r="K3" s="5" t="s">
        <v>158</v>
      </c>
      <c r="L3" s="5" t="s">
        <v>159</v>
      </c>
      <c r="M3" s="5"/>
      <c r="N3" s="5" t="s">
        <v>160</v>
      </c>
      <c r="O3" s="5"/>
      <c r="P3" s="5"/>
      <c r="Q3" s="5"/>
      <c r="R3" s="5"/>
      <c r="S3" s="5"/>
      <c r="T3" s="5" t="s">
        <v>108</v>
      </c>
      <c r="U3" s="5" t="s">
        <v>160</v>
      </c>
      <c r="V3" s="5" t="s">
        <v>110</v>
      </c>
      <c r="W3" s="5" t="s">
        <v>160</v>
      </c>
      <c r="X3" s="5"/>
      <c r="Y3" s="5" t="s">
        <v>160</v>
      </c>
      <c r="Z3" s="5"/>
      <c r="AA3" s="5"/>
      <c r="AB3" s="5" t="s">
        <v>161</v>
      </c>
      <c r="AC3" s="5" t="s">
        <v>160</v>
      </c>
      <c r="AD3" s="5" t="s">
        <v>162</v>
      </c>
      <c r="AE3" s="5" t="s">
        <v>118</v>
      </c>
      <c r="AF3" s="5" t="s">
        <v>160</v>
      </c>
      <c r="AG3" s="5" t="s">
        <v>120</v>
      </c>
      <c r="AH3" s="5" t="s">
        <v>160</v>
      </c>
      <c r="AI3" s="5"/>
      <c r="AJ3" s="5"/>
      <c r="AK3" s="5"/>
      <c r="AL3" s="5"/>
      <c r="AM3" s="5"/>
      <c r="AN3" s="5" t="s">
        <v>113</v>
      </c>
      <c r="AO3" s="9" t="s">
        <v>163</v>
      </c>
      <c r="AP3" s="5" t="s">
        <v>127</v>
      </c>
      <c r="AQ3" s="5" t="s">
        <v>128</v>
      </c>
      <c r="AR3" s="5" t="s">
        <v>129</v>
      </c>
      <c r="AS3" s="5" t="s">
        <v>130</v>
      </c>
      <c r="AT3" s="5" t="s">
        <v>131</v>
      </c>
      <c r="AU3" s="5" t="s">
        <v>160</v>
      </c>
      <c r="AV3" s="5"/>
      <c r="AW3" s="5"/>
      <c r="AX3" s="5"/>
      <c r="AY3" s="5" t="s">
        <v>134</v>
      </c>
      <c r="AZ3" s="5" t="s">
        <v>135</v>
      </c>
      <c r="BA3" s="5" t="s">
        <v>121</v>
      </c>
      <c r="BB3" s="5" t="s">
        <v>136</v>
      </c>
      <c r="BC3" s="5" t="s">
        <v>137</v>
      </c>
      <c r="BD3" s="5" t="s">
        <v>138</v>
      </c>
      <c r="BE3" s="5" t="s">
        <v>139</v>
      </c>
      <c r="BF3" s="5" t="s">
        <v>140</v>
      </c>
      <c r="BG3" s="5" t="s">
        <v>141</v>
      </c>
      <c r="BH3" s="5" t="s">
        <v>160</v>
      </c>
      <c r="BI3" s="5"/>
      <c r="BJ3" s="5"/>
      <c r="BK3" s="5" t="s">
        <v>142</v>
      </c>
      <c r="BL3" s="5" t="s">
        <v>143</v>
      </c>
      <c r="BM3" s="5" t="s">
        <v>160</v>
      </c>
      <c r="BN3" s="5"/>
      <c r="BO3" s="5" t="s">
        <v>113</v>
      </c>
      <c r="BP3" s="9" t="s">
        <v>164</v>
      </c>
      <c r="BQ3" s="5" t="s">
        <v>165</v>
      </c>
      <c r="BR3" s="5" t="s">
        <v>147</v>
      </c>
      <c r="BS3" s="5" t="s">
        <v>160</v>
      </c>
      <c r="BT3" s="5" t="s">
        <v>149</v>
      </c>
      <c r="BU3" s="5" t="s">
        <v>150</v>
      </c>
      <c r="BV3" s="5" t="s">
        <v>160</v>
      </c>
      <c r="BW3" s="5"/>
      <c r="BX3" s="5" t="s">
        <v>166</v>
      </c>
      <c r="BY3" s="5" t="s">
        <v>167</v>
      </c>
      <c r="BZ3" s="5" t="s">
        <v>168</v>
      </c>
      <c r="CA3" s="5" t="s">
        <v>169</v>
      </c>
      <c r="CB3" s="5"/>
      <c r="CC3" s="5" t="s">
        <v>170</v>
      </c>
      <c r="CD3" s="1" t="s">
        <v>160</v>
      </c>
    </row>
    <row r="4" spans="1:82" s="1" customFormat="1" ht="27" customHeight="1" x14ac:dyDescent="0.35">
      <c r="A4" s="5">
        <v>102</v>
      </c>
      <c r="B4" s="360"/>
      <c r="C4" s="123">
        <v>46269.688194444447</v>
      </c>
      <c r="D4" s="228" t="s">
        <v>635</v>
      </c>
      <c r="E4" s="178"/>
      <c r="F4" s="10" t="s">
        <v>30</v>
      </c>
      <c r="G4" s="9" t="s">
        <v>13</v>
      </c>
      <c r="H4" s="9" t="s">
        <v>26</v>
      </c>
      <c r="I4" s="12" t="s">
        <v>27</v>
      </c>
      <c r="J4" s="5" t="s">
        <v>171</v>
      </c>
      <c r="K4" s="5" t="s">
        <v>172</v>
      </c>
      <c r="L4" s="5" t="s">
        <v>173</v>
      </c>
      <c r="M4" s="5" t="s">
        <v>101</v>
      </c>
      <c r="N4" s="5" t="s">
        <v>160</v>
      </c>
      <c r="O4" s="5" t="s">
        <v>103</v>
      </c>
      <c r="P4" s="5"/>
      <c r="Q4" s="5"/>
      <c r="R4" s="5"/>
      <c r="S4" s="5"/>
      <c r="T4" s="5" t="s">
        <v>108</v>
      </c>
      <c r="U4" s="5" t="s">
        <v>160</v>
      </c>
      <c r="V4" s="5"/>
      <c r="W4" s="5"/>
      <c r="X4" s="5"/>
      <c r="Y4" s="5"/>
      <c r="Z4" s="5"/>
      <c r="AA4" s="5"/>
      <c r="AB4" s="5" t="s">
        <v>161</v>
      </c>
      <c r="AC4" s="5" t="s">
        <v>160</v>
      </c>
      <c r="AD4" s="5" t="s">
        <v>162</v>
      </c>
      <c r="AE4" s="5"/>
      <c r="AF4" s="5" t="s">
        <v>119</v>
      </c>
      <c r="AG4" s="5" t="s">
        <v>120</v>
      </c>
      <c r="AH4" s="5" t="s">
        <v>160</v>
      </c>
      <c r="AI4" s="5" t="s">
        <v>122</v>
      </c>
      <c r="AJ4" s="5" t="s">
        <v>160</v>
      </c>
      <c r="AK4" s="5"/>
      <c r="AL4" s="5"/>
      <c r="AM4" s="5"/>
      <c r="AN4" s="5"/>
      <c r="AO4" s="5"/>
      <c r="AP4" s="5" t="s">
        <v>127</v>
      </c>
      <c r="AQ4" s="5" t="s">
        <v>160</v>
      </c>
      <c r="AR4" s="5"/>
      <c r="AS4" s="5"/>
      <c r="AT4" s="5"/>
      <c r="AU4" s="5"/>
      <c r="AV4" s="5"/>
      <c r="AW4" s="5"/>
      <c r="AX4" s="5"/>
      <c r="AY4" s="5" t="s">
        <v>134</v>
      </c>
      <c r="AZ4" s="5" t="s">
        <v>135</v>
      </c>
      <c r="BA4" s="5" t="s">
        <v>121</v>
      </c>
      <c r="BB4" s="5" t="s">
        <v>136</v>
      </c>
      <c r="BC4" s="5" t="s">
        <v>160</v>
      </c>
      <c r="BD4" s="5" t="s">
        <v>138</v>
      </c>
      <c r="BE4" s="5" t="s">
        <v>139</v>
      </c>
      <c r="BF4" s="5" t="s">
        <v>140</v>
      </c>
      <c r="BG4" s="5" t="s">
        <v>141</v>
      </c>
      <c r="BH4" s="5" t="s">
        <v>160</v>
      </c>
      <c r="BI4" s="5"/>
      <c r="BJ4" s="5"/>
      <c r="BK4" s="5" t="s">
        <v>142</v>
      </c>
      <c r="BL4" s="5" t="s">
        <v>143</v>
      </c>
      <c r="BM4" s="5" t="s">
        <v>144</v>
      </c>
      <c r="BN4" s="5" t="s">
        <v>160</v>
      </c>
      <c r="BO4" s="5"/>
      <c r="BP4" s="5"/>
      <c r="BQ4" s="5" t="s">
        <v>174</v>
      </c>
      <c r="BR4" s="5" t="s">
        <v>147</v>
      </c>
      <c r="BS4" s="5" t="s">
        <v>160</v>
      </c>
      <c r="BT4" s="5" t="s">
        <v>149</v>
      </c>
      <c r="BU4" s="5" t="s">
        <v>150</v>
      </c>
      <c r="BV4" s="5" t="s">
        <v>113</v>
      </c>
      <c r="BW4" s="5" t="s">
        <v>175</v>
      </c>
      <c r="BX4" s="5" t="s">
        <v>176</v>
      </c>
      <c r="BY4" s="5" t="s">
        <v>177</v>
      </c>
      <c r="BZ4" s="5" t="s">
        <v>178</v>
      </c>
      <c r="CA4" s="5" t="s">
        <v>170</v>
      </c>
      <c r="CB4" s="5" t="s">
        <v>179</v>
      </c>
      <c r="CC4" s="5" t="s">
        <v>169</v>
      </c>
    </row>
    <row r="5" spans="1:82" s="1" customFormat="1" ht="27" customHeight="1" x14ac:dyDescent="0.35">
      <c r="A5" s="5">
        <v>101</v>
      </c>
      <c r="B5" s="361"/>
      <c r="C5" s="123">
        <v>46269.48541666667</v>
      </c>
      <c r="D5" s="9" t="s">
        <v>636</v>
      </c>
      <c r="E5" s="178"/>
      <c r="F5" s="10" t="s">
        <v>39</v>
      </c>
      <c r="G5" s="9" t="s">
        <v>16</v>
      </c>
      <c r="H5" s="9" t="s">
        <v>26</v>
      </c>
      <c r="I5" s="12" t="s">
        <v>27</v>
      </c>
      <c r="J5" s="5" t="s">
        <v>180</v>
      </c>
      <c r="K5" s="5" t="s">
        <v>158</v>
      </c>
      <c r="L5" s="5" t="s">
        <v>181</v>
      </c>
      <c r="M5" s="5"/>
      <c r="N5" s="5" t="s">
        <v>160</v>
      </c>
      <c r="O5" s="5"/>
      <c r="P5" s="5"/>
      <c r="Q5" s="5"/>
      <c r="R5" s="5" t="s">
        <v>106</v>
      </c>
      <c r="S5" s="5" t="s">
        <v>160</v>
      </c>
      <c r="T5" s="5" t="s">
        <v>108</v>
      </c>
      <c r="U5" s="5" t="s">
        <v>109</v>
      </c>
      <c r="V5" s="5" t="s">
        <v>160</v>
      </c>
      <c r="W5" s="5"/>
      <c r="X5" s="5"/>
      <c r="Y5" s="5"/>
      <c r="Z5" s="5"/>
      <c r="AA5" s="5"/>
      <c r="AB5" s="5" t="s">
        <v>182</v>
      </c>
      <c r="AC5" s="5" t="s">
        <v>160</v>
      </c>
      <c r="AD5" s="5" t="s">
        <v>165</v>
      </c>
      <c r="AE5" s="5" t="s">
        <v>118</v>
      </c>
      <c r="AF5" s="5" t="s">
        <v>160</v>
      </c>
      <c r="AG5" s="5"/>
      <c r="AH5" s="5"/>
      <c r="AI5" s="5" t="s">
        <v>122</v>
      </c>
      <c r="AJ5" s="5" t="s">
        <v>160</v>
      </c>
      <c r="AK5" s="5" t="s">
        <v>124</v>
      </c>
      <c r="AL5" s="5" t="s">
        <v>160</v>
      </c>
      <c r="AM5" s="5"/>
      <c r="AN5" s="5"/>
      <c r="AO5" s="5"/>
      <c r="AP5" s="5"/>
      <c r="AQ5" s="5"/>
      <c r="AR5" s="5"/>
      <c r="AS5" s="5" t="s">
        <v>130</v>
      </c>
      <c r="AT5" s="5" t="s">
        <v>160</v>
      </c>
      <c r="AU5" s="5"/>
      <c r="AV5" s="5"/>
      <c r="AW5" s="5"/>
      <c r="AX5" s="5"/>
      <c r="AY5" s="5" t="s">
        <v>134</v>
      </c>
      <c r="AZ5" s="5" t="s">
        <v>135</v>
      </c>
      <c r="BA5" s="5" t="s">
        <v>121</v>
      </c>
      <c r="BB5" s="5" t="s">
        <v>136</v>
      </c>
      <c r="BC5" s="5" t="s">
        <v>137</v>
      </c>
      <c r="BD5" s="5" t="s">
        <v>138</v>
      </c>
      <c r="BE5" s="5" t="s">
        <v>160</v>
      </c>
      <c r="BF5" s="5"/>
      <c r="BG5" s="5" t="s">
        <v>141</v>
      </c>
      <c r="BH5" s="5" t="s">
        <v>160</v>
      </c>
      <c r="BI5" s="5"/>
      <c r="BJ5" s="5"/>
      <c r="BK5" s="5" t="s">
        <v>142</v>
      </c>
      <c r="BL5" s="5" t="s">
        <v>143</v>
      </c>
      <c r="BM5" s="5" t="s">
        <v>144</v>
      </c>
      <c r="BN5" s="5" t="s">
        <v>160</v>
      </c>
      <c r="BO5" s="5" t="s">
        <v>113</v>
      </c>
      <c r="BP5" s="5" t="s">
        <v>183</v>
      </c>
      <c r="BQ5" s="5" t="s">
        <v>174</v>
      </c>
      <c r="BR5" s="5" t="s">
        <v>147</v>
      </c>
      <c r="BS5" s="5" t="s">
        <v>160</v>
      </c>
      <c r="BT5" s="5" t="s">
        <v>149</v>
      </c>
      <c r="BU5" s="5" t="s">
        <v>150</v>
      </c>
      <c r="BV5" s="5" t="s">
        <v>160</v>
      </c>
      <c r="BW5" s="5"/>
      <c r="BX5" s="5" t="s">
        <v>176</v>
      </c>
      <c r="BY5" s="5" t="s">
        <v>177</v>
      </c>
      <c r="BZ5" s="5" t="s">
        <v>178</v>
      </c>
      <c r="CA5" s="5" t="s">
        <v>170</v>
      </c>
      <c r="CB5" s="5" t="s">
        <v>160</v>
      </c>
      <c r="CC5" s="5" t="s">
        <v>170</v>
      </c>
      <c r="CD5" s="1" t="s">
        <v>160</v>
      </c>
    </row>
    <row r="6" spans="1:82" s="1" customFormat="1" ht="27" customHeight="1" x14ac:dyDescent="0.35">
      <c r="A6" s="5">
        <v>100</v>
      </c>
      <c r="B6" s="350">
        <v>46235</v>
      </c>
      <c r="C6" s="123">
        <v>46262.600358796299</v>
      </c>
      <c r="D6" s="9" t="s">
        <v>637</v>
      </c>
      <c r="E6" s="178"/>
      <c r="F6" s="10" t="s">
        <v>35</v>
      </c>
      <c r="G6" s="9" t="s">
        <v>25</v>
      </c>
      <c r="H6" s="9" t="s">
        <v>26</v>
      </c>
      <c r="I6" s="12" t="s">
        <v>69</v>
      </c>
      <c r="J6" s="5" t="s">
        <v>184</v>
      </c>
      <c r="K6" s="5" t="s">
        <v>158</v>
      </c>
      <c r="L6" s="5" t="s">
        <v>159</v>
      </c>
      <c r="M6" s="5" t="s">
        <v>160</v>
      </c>
      <c r="N6" s="5"/>
      <c r="O6" s="5"/>
      <c r="P6" s="5"/>
      <c r="Q6" s="5"/>
      <c r="R6" s="5"/>
      <c r="S6" s="5"/>
      <c r="T6" s="5"/>
      <c r="U6" s="5"/>
      <c r="V6" s="5"/>
      <c r="W6" s="5"/>
      <c r="X6" s="5"/>
      <c r="Y6" s="5"/>
      <c r="Z6" s="5" t="s">
        <v>114</v>
      </c>
      <c r="AA6" s="5"/>
      <c r="AB6" s="5" t="s">
        <v>161</v>
      </c>
      <c r="AC6" s="5" t="s">
        <v>160</v>
      </c>
      <c r="AD6" s="5" t="s">
        <v>185</v>
      </c>
      <c r="AE6" s="5" t="s">
        <v>160</v>
      </c>
      <c r="AF6" s="5"/>
      <c r="AG6" s="5"/>
      <c r="AH6" s="5"/>
      <c r="AI6" s="5" t="s">
        <v>122</v>
      </c>
      <c r="AJ6" s="5" t="s">
        <v>160</v>
      </c>
      <c r="AK6" s="5" t="s">
        <v>124</v>
      </c>
      <c r="AL6" s="5" t="s">
        <v>160</v>
      </c>
      <c r="AM6" s="5" t="s">
        <v>126</v>
      </c>
      <c r="AN6" s="5" t="s">
        <v>160</v>
      </c>
      <c r="AO6" s="5"/>
      <c r="AP6" s="5"/>
      <c r="AQ6" s="5"/>
      <c r="AR6" s="5"/>
      <c r="AS6" s="5"/>
      <c r="AT6" s="5"/>
      <c r="AU6" s="5"/>
      <c r="AV6" s="5" t="s">
        <v>132</v>
      </c>
      <c r="AW6" s="5" t="s">
        <v>160</v>
      </c>
      <c r="AX6" s="5"/>
      <c r="AY6" s="5"/>
      <c r="AZ6" s="5"/>
      <c r="BA6" s="5"/>
      <c r="BB6" s="5"/>
      <c r="BC6" s="5"/>
      <c r="BD6" s="5"/>
      <c r="BE6" s="5"/>
      <c r="BF6" s="5"/>
      <c r="BG6" s="5"/>
      <c r="BH6" s="5"/>
      <c r="BI6" s="5" t="s">
        <v>132</v>
      </c>
      <c r="BJ6" s="5" t="s">
        <v>160</v>
      </c>
      <c r="BK6" s="5"/>
      <c r="BL6" s="5"/>
      <c r="BM6" s="5"/>
      <c r="BN6" s="5" t="s">
        <v>145</v>
      </c>
      <c r="BO6" s="5" t="s">
        <v>160</v>
      </c>
      <c r="BP6" s="5"/>
      <c r="BQ6" s="5" t="s">
        <v>174</v>
      </c>
      <c r="BR6" s="5"/>
      <c r="BS6" s="5" t="s">
        <v>148</v>
      </c>
      <c r="BT6" s="5" t="s">
        <v>160</v>
      </c>
      <c r="BU6" s="5"/>
      <c r="BV6" s="5"/>
      <c r="BW6" s="5"/>
      <c r="BX6" s="5" t="s">
        <v>186</v>
      </c>
      <c r="BY6" s="5" t="s">
        <v>174</v>
      </c>
      <c r="BZ6" s="5" t="s">
        <v>168</v>
      </c>
      <c r="CA6" s="5" t="s">
        <v>160</v>
      </c>
      <c r="CB6" s="5"/>
      <c r="CC6" s="5"/>
    </row>
    <row r="7" spans="1:82" s="1" customFormat="1" ht="27" customHeight="1" x14ac:dyDescent="0.35">
      <c r="A7" s="5">
        <v>99</v>
      </c>
      <c r="B7" s="360"/>
      <c r="C7" s="123">
        <v>46258.431273148148</v>
      </c>
      <c r="D7" s="9" t="s">
        <v>638</v>
      </c>
      <c r="E7" s="178"/>
      <c r="F7" s="10" t="s">
        <v>49</v>
      </c>
      <c r="G7" s="9" t="s">
        <v>25</v>
      </c>
      <c r="H7" s="9" t="s">
        <v>29</v>
      </c>
      <c r="I7" s="12" t="s">
        <v>27</v>
      </c>
      <c r="J7" s="5" t="s">
        <v>184</v>
      </c>
      <c r="K7" s="5" t="s">
        <v>172</v>
      </c>
      <c r="L7" s="5" t="s">
        <v>159</v>
      </c>
      <c r="M7" s="5" t="s">
        <v>160</v>
      </c>
      <c r="N7" s="5"/>
      <c r="O7" s="5"/>
      <c r="P7" s="5"/>
      <c r="Q7" s="5"/>
      <c r="R7" s="5"/>
      <c r="S7" s="5"/>
      <c r="T7" s="5" t="s">
        <v>108</v>
      </c>
      <c r="U7" s="5" t="s">
        <v>109</v>
      </c>
      <c r="V7" s="5" t="s">
        <v>160</v>
      </c>
      <c r="W7" s="5"/>
      <c r="X7" s="5" t="s">
        <v>112</v>
      </c>
      <c r="Y7" s="5" t="s">
        <v>160</v>
      </c>
      <c r="Z7" s="5"/>
      <c r="AA7" s="5"/>
      <c r="AB7" s="5" t="s">
        <v>161</v>
      </c>
      <c r="AC7" s="5" t="s">
        <v>160</v>
      </c>
      <c r="AD7" s="5" t="s">
        <v>165</v>
      </c>
      <c r="AE7" s="5" t="s">
        <v>118</v>
      </c>
      <c r="AF7" s="5" t="s">
        <v>160</v>
      </c>
      <c r="AG7" s="5"/>
      <c r="AH7" s="5"/>
      <c r="AI7" s="5" t="s">
        <v>122</v>
      </c>
      <c r="AJ7" s="5" t="s">
        <v>160</v>
      </c>
      <c r="AK7" s="5"/>
      <c r="AL7" s="5"/>
      <c r="AM7" s="5" t="s">
        <v>126</v>
      </c>
      <c r="AN7" s="5" t="s">
        <v>160</v>
      </c>
      <c r="AO7" s="5"/>
      <c r="AP7" s="5" t="s">
        <v>127</v>
      </c>
      <c r="AQ7" s="5" t="s">
        <v>160</v>
      </c>
      <c r="AR7" s="5"/>
      <c r="AS7" s="5"/>
      <c r="AT7" s="5" t="s">
        <v>131</v>
      </c>
      <c r="AU7" s="5" t="s">
        <v>160</v>
      </c>
      <c r="AV7" s="5"/>
      <c r="AW7" s="5"/>
      <c r="AX7" s="5"/>
      <c r="AY7" s="5"/>
      <c r="AZ7" s="5"/>
      <c r="BA7" s="5"/>
      <c r="BB7" s="5" t="s">
        <v>136</v>
      </c>
      <c r="BC7" s="5" t="s">
        <v>160</v>
      </c>
      <c r="BD7" s="5"/>
      <c r="BE7" s="5" t="s">
        <v>139</v>
      </c>
      <c r="BF7" s="5" t="s">
        <v>160</v>
      </c>
      <c r="BG7" s="5" t="s">
        <v>141</v>
      </c>
      <c r="BH7" s="5" t="s">
        <v>160</v>
      </c>
      <c r="BI7" s="5"/>
      <c r="BJ7" s="5"/>
      <c r="BK7" s="5" t="s">
        <v>142</v>
      </c>
      <c r="BL7" s="5" t="s">
        <v>160</v>
      </c>
      <c r="BM7" s="5" t="s">
        <v>144</v>
      </c>
      <c r="BN7" s="5" t="s">
        <v>160</v>
      </c>
      <c r="BO7" s="5"/>
      <c r="BP7" s="5"/>
      <c r="BQ7" s="5" t="s">
        <v>174</v>
      </c>
      <c r="BR7" s="5" t="s">
        <v>147</v>
      </c>
      <c r="BS7" s="5" t="s">
        <v>160</v>
      </c>
      <c r="BT7" s="5"/>
      <c r="BU7" s="5"/>
      <c r="BV7" s="5"/>
      <c r="BW7" s="5"/>
      <c r="BX7" s="5" t="s">
        <v>166</v>
      </c>
      <c r="BY7" s="5" t="s">
        <v>167</v>
      </c>
      <c r="BZ7" s="5" t="s">
        <v>168</v>
      </c>
      <c r="CA7" s="5" t="s">
        <v>170</v>
      </c>
      <c r="CB7" s="5" t="s">
        <v>187</v>
      </c>
      <c r="CC7" s="5" t="s">
        <v>170</v>
      </c>
      <c r="CD7" s="1" t="s">
        <v>160</v>
      </c>
    </row>
    <row r="8" spans="1:82" s="1" customFormat="1" ht="27" customHeight="1" thickBot="1" x14ac:dyDescent="0.4">
      <c r="A8" s="5">
        <v>98</v>
      </c>
      <c r="B8" s="360"/>
      <c r="C8" s="123">
        <v>46247.551087962966</v>
      </c>
      <c r="D8" s="228" t="s">
        <v>639</v>
      </c>
      <c r="E8" s="178"/>
      <c r="F8" s="10" t="s">
        <v>39</v>
      </c>
      <c r="G8" s="9" t="s">
        <v>25</v>
      </c>
      <c r="H8" s="9" t="s">
        <v>29</v>
      </c>
      <c r="I8" s="251" t="s">
        <v>27</v>
      </c>
      <c r="J8" s="5" t="s">
        <v>157</v>
      </c>
      <c r="K8" s="5" t="s">
        <v>158</v>
      </c>
      <c r="L8" s="5" t="s">
        <v>159</v>
      </c>
      <c r="M8" s="5" t="s">
        <v>160</v>
      </c>
      <c r="N8" s="5"/>
      <c r="O8" s="5"/>
      <c r="P8" s="5"/>
      <c r="Q8" s="5"/>
      <c r="R8" s="5"/>
      <c r="S8" s="5"/>
      <c r="T8" s="5" t="s">
        <v>108</v>
      </c>
      <c r="U8" s="5" t="s">
        <v>160</v>
      </c>
      <c r="V8" s="5" t="s">
        <v>110</v>
      </c>
      <c r="W8" s="5" t="s">
        <v>160</v>
      </c>
      <c r="X8" s="5"/>
      <c r="Y8" s="5"/>
      <c r="Z8" s="5"/>
      <c r="AA8" s="5"/>
      <c r="AB8" s="5" t="s">
        <v>161</v>
      </c>
      <c r="AC8" s="5" t="s">
        <v>160</v>
      </c>
      <c r="AD8" s="5" t="s">
        <v>165</v>
      </c>
      <c r="AE8" s="5" t="s">
        <v>160</v>
      </c>
      <c r="AF8" s="5"/>
      <c r="AG8" s="5"/>
      <c r="AH8" s="5"/>
      <c r="AI8" s="5" t="s">
        <v>122</v>
      </c>
      <c r="AJ8" s="5" t="s">
        <v>160</v>
      </c>
      <c r="AK8" s="5" t="s">
        <v>124</v>
      </c>
      <c r="AL8" s="5" t="s">
        <v>160</v>
      </c>
      <c r="AM8" s="5" t="s">
        <v>126</v>
      </c>
      <c r="AN8" s="5" t="s">
        <v>160</v>
      </c>
      <c r="AO8" s="5"/>
      <c r="AP8" s="5" t="s">
        <v>127</v>
      </c>
      <c r="AQ8" s="5" t="s">
        <v>160</v>
      </c>
      <c r="AR8" s="5" t="s">
        <v>129</v>
      </c>
      <c r="AS8" s="5" t="s">
        <v>130</v>
      </c>
      <c r="AT8" s="5" t="s">
        <v>131</v>
      </c>
      <c r="AU8" s="5" t="s">
        <v>160</v>
      </c>
      <c r="AV8" s="5"/>
      <c r="AW8" s="5"/>
      <c r="AX8" s="5" t="s">
        <v>133</v>
      </c>
      <c r="AY8" s="5" t="s">
        <v>134</v>
      </c>
      <c r="AZ8" s="5" t="s">
        <v>135</v>
      </c>
      <c r="BA8" s="5" t="s">
        <v>121</v>
      </c>
      <c r="BB8" s="5" t="s">
        <v>136</v>
      </c>
      <c r="BC8" s="5" t="s">
        <v>137</v>
      </c>
      <c r="BD8" s="5" t="s">
        <v>138</v>
      </c>
      <c r="BE8" s="5" t="s">
        <v>139</v>
      </c>
      <c r="BF8" s="5" t="s">
        <v>160</v>
      </c>
      <c r="BG8" s="5" t="s">
        <v>141</v>
      </c>
      <c r="BH8" s="5" t="s">
        <v>160</v>
      </c>
      <c r="BI8" s="5"/>
      <c r="BJ8" s="5"/>
      <c r="BK8" s="5" t="s">
        <v>142</v>
      </c>
      <c r="BL8" s="5" t="s">
        <v>143</v>
      </c>
      <c r="BM8" s="5" t="s">
        <v>144</v>
      </c>
      <c r="BN8" s="5" t="s">
        <v>160</v>
      </c>
      <c r="BO8" s="5"/>
      <c r="BP8" s="5"/>
      <c r="BQ8" s="5" t="s">
        <v>178</v>
      </c>
      <c r="BR8" s="5" t="s">
        <v>147</v>
      </c>
      <c r="BS8" s="5" t="s">
        <v>160</v>
      </c>
      <c r="BT8" s="5" t="s">
        <v>149</v>
      </c>
      <c r="BU8" s="5" t="s">
        <v>150</v>
      </c>
      <c r="BV8" s="5" t="s">
        <v>113</v>
      </c>
      <c r="BW8" s="5" t="s">
        <v>188</v>
      </c>
      <c r="BX8" s="5" t="s">
        <v>166</v>
      </c>
      <c r="BY8" s="5" t="s">
        <v>177</v>
      </c>
      <c r="BZ8" s="5" t="s">
        <v>168</v>
      </c>
      <c r="CA8" s="5" t="s">
        <v>169</v>
      </c>
      <c r="CB8" s="9" t="s">
        <v>189</v>
      </c>
      <c r="CC8" s="5" t="s">
        <v>169</v>
      </c>
    </row>
    <row r="9" spans="1:82" s="1" customFormat="1" ht="27" customHeight="1" x14ac:dyDescent="0.35">
      <c r="A9" s="5">
        <v>97</v>
      </c>
      <c r="B9" s="360"/>
      <c r="C9" s="123">
        <v>46245.518726851849</v>
      </c>
      <c r="D9" s="9" t="s">
        <v>640</v>
      </c>
      <c r="E9" s="178"/>
      <c r="F9" s="10" t="s">
        <v>39</v>
      </c>
      <c r="G9" s="9" t="s">
        <v>25</v>
      </c>
      <c r="H9" s="9" t="s">
        <v>26</v>
      </c>
      <c r="I9" s="12" t="s">
        <v>27</v>
      </c>
      <c r="J9" s="5" t="s">
        <v>184</v>
      </c>
      <c r="K9" s="5" t="s">
        <v>158</v>
      </c>
      <c r="L9" s="5" t="s">
        <v>173</v>
      </c>
      <c r="M9" s="5" t="s">
        <v>101</v>
      </c>
      <c r="N9" s="5" t="s">
        <v>160</v>
      </c>
      <c r="O9" s="5"/>
      <c r="P9" s="5" t="s">
        <v>104</v>
      </c>
      <c r="Q9" s="5" t="s">
        <v>160</v>
      </c>
      <c r="R9" s="5"/>
      <c r="S9" s="5"/>
      <c r="T9" s="5"/>
      <c r="U9" s="5" t="s">
        <v>109</v>
      </c>
      <c r="V9" s="5" t="s">
        <v>160</v>
      </c>
      <c r="W9" s="5"/>
      <c r="X9" s="5"/>
      <c r="Y9" s="5"/>
      <c r="Z9" s="5"/>
      <c r="AA9" s="5"/>
      <c r="AB9" s="5" t="s">
        <v>161</v>
      </c>
      <c r="AC9" s="5" t="s">
        <v>160</v>
      </c>
      <c r="AD9" s="5" t="s">
        <v>165</v>
      </c>
      <c r="AE9" s="5" t="s">
        <v>160</v>
      </c>
      <c r="AF9" s="5"/>
      <c r="AG9" s="5"/>
      <c r="AH9" s="5" t="s">
        <v>121</v>
      </c>
      <c r="AI9" s="5" t="s">
        <v>122</v>
      </c>
      <c r="AJ9" s="5" t="s">
        <v>160</v>
      </c>
      <c r="AK9" s="5" t="s">
        <v>124</v>
      </c>
      <c r="AL9" s="5" t="s">
        <v>160</v>
      </c>
      <c r="AM9" s="5"/>
      <c r="AN9" s="5"/>
      <c r="AO9" s="5"/>
      <c r="AP9" s="5" t="s">
        <v>127</v>
      </c>
      <c r="AQ9" s="5" t="s">
        <v>160</v>
      </c>
      <c r="AR9" s="5" t="s">
        <v>129</v>
      </c>
      <c r="AS9" s="5" t="s">
        <v>130</v>
      </c>
      <c r="AT9" s="5" t="s">
        <v>160</v>
      </c>
      <c r="AU9" s="5"/>
      <c r="AV9" s="5"/>
      <c r="AW9" s="5"/>
      <c r="AX9" s="5"/>
      <c r="AY9" s="5" t="s">
        <v>134</v>
      </c>
      <c r="AZ9" s="5" t="s">
        <v>135</v>
      </c>
      <c r="BA9" s="5" t="s">
        <v>121</v>
      </c>
      <c r="BB9" s="5" t="s">
        <v>136</v>
      </c>
      <c r="BC9" s="5" t="s">
        <v>137</v>
      </c>
      <c r="BD9" s="5" t="s">
        <v>138</v>
      </c>
      <c r="BE9" s="5" t="s">
        <v>160</v>
      </c>
      <c r="BF9" s="5"/>
      <c r="BG9" s="5"/>
      <c r="BH9" s="5"/>
      <c r="BI9" s="5"/>
      <c r="BJ9" s="5"/>
      <c r="BK9" s="5" t="s">
        <v>142</v>
      </c>
      <c r="BL9" s="5" t="s">
        <v>143</v>
      </c>
      <c r="BM9" s="5" t="s">
        <v>144</v>
      </c>
      <c r="BN9" s="5" t="s">
        <v>160</v>
      </c>
      <c r="BO9" s="5"/>
      <c r="BP9" s="5"/>
      <c r="BQ9" s="5" t="s">
        <v>174</v>
      </c>
      <c r="BR9" s="5" t="s">
        <v>147</v>
      </c>
      <c r="BS9" s="5" t="s">
        <v>160</v>
      </c>
      <c r="BT9" s="5"/>
      <c r="BU9" s="5" t="s">
        <v>150</v>
      </c>
      <c r="BV9" s="5" t="s">
        <v>160</v>
      </c>
      <c r="BW9" s="5"/>
      <c r="BX9" s="5" t="s">
        <v>176</v>
      </c>
      <c r="BY9" s="5" t="s">
        <v>167</v>
      </c>
      <c r="BZ9" s="5" t="s">
        <v>168</v>
      </c>
      <c r="CA9" s="5" t="s">
        <v>170</v>
      </c>
      <c r="CB9" s="5" t="s">
        <v>160</v>
      </c>
      <c r="CC9" s="5" t="s">
        <v>170</v>
      </c>
      <c r="CD9" s="1" t="s">
        <v>160</v>
      </c>
    </row>
    <row r="10" spans="1:82" s="1" customFormat="1" ht="27" customHeight="1" x14ac:dyDescent="0.35">
      <c r="A10" s="5">
        <v>96</v>
      </c>
      <c r="B10" s="360"/>
      <c r="C10" s="123">
        <v>46244.635474537034</v>
      </c>
      <c r="D10" s="9" t="s">
        <v>641</v>
      </c>
      <c r="E10" s="178"/>
      <c r="F10" s="10" t="s">
        <v>39</v>
      </c>
      <c r="G10" s="9" t="s">
        <v>16</v>
      </c>
      <c r="H10" s="9" t="s">
        <v>26</v>
      </c>
      <c r="I10" s="12" t="s">
        <v>27</v>
      </c>
      <c r="J10" s="5" t="s">
        <v>180</v>
      </c>
      <c r="K10" s="5" t="s">
        <v>158</v>
      </c>
      <c r="L10" s="5" t="s">
        <v>159</v>
      </c>
      <c r="M10" s="5" t="s">
        <v>160</v>
      </c>
      <c r="N10" s="5"/>
      <c r="O10" s="5"/>
      <c r="P10" s="5"/>
      <c r="Q10" s="5"/>
      <c r="R10" s="5" t="s">
        <v>106</v>
      </c>
      <c r="S10" s="5" t="s">
        <v>160</v>
      </c>
      <c r="T10" s="5" t="s">
        <v>108</v>
      </c>
      <c r="U10" s="5" t="s">
        <v>109</v>
      </c>
      <c r="V10" s="5" t="s">
        <v>160</v>
      </c>
      <c r="W10" s="5"/>
      <c r="X10" s="5"/>
      <c r="Y10" s="5"/>
      <c r="Z10" s="5"/>
      <c r="AA10" s="5"/>
      <c r="AB10" s="5" t="s">
        <v>161</v>
      </c>
      <c r="AC10" s="5" t="s">
        <v>160</v>
      </c>
      <c r="AD10" s="5" t="s">
        <v>162</v>
      </c>
      <c r="AE10" s="5"/>
      <c r="AF10" s="5"/>
      <c r="AG10" s="5" t="s">
        <v>120</v>
      </c>
      <c r="AH10" s="5" t="s">
        <v>160</v>
      </c>
      <c r="AI10" s="5" t="s">
        <v>122</v>
      </c>
      <c r="AJ10" s="5" t="s">
        <v>160</v>
      </c>
      <c r="AK10" s="5"/>
      <c r="AL10" s="5"/>
      <c r="AM10" s="5"/>
      <c r="AN10" s="5" t="s">
        <v>113</v>
      </c>
      <c r="AO10" s="5" t="s">
        <v>190</v>
      </c>
      <c r="AP10" s="5" t="s">
        <v>127</v>
      </c>
      <c r="AQ10" s="5" t="s">
        <v>128</v>
      </c>
      <c r="AR10" s="5" t="s">
        <v>129</v>
      </c>
      <c r="AS10" s="5" t="s">
        <v>130</v>
      </c>
      <c r="AT10" s="5" t="s">
        <v>160</v>
      </c>
      <c r="AU10" s="5"/>
      <c r="AV10" s="5"/>
      <c r="AW10" s="5"/>
      <c r="AX10" s="5" t="s">
        <v>133</v>
      </c>
      <c r="AY10" s="5" t="s">
        <v>134</v>
      </c>
      <c r="AZ10" s="5" t="s">
        <v>135</v>
      </c>
      <c r="BA10" s="5" t="s">
        <v>160</v>
      </c>
      <c r="BB10" s="5" t="s">
        <v>136</v>
      </c>
      <c r="BC10" s="5" t="s">
        <v>160</v>
      </c>
      <c r="BD10" s="5" t="s">
        <v>138</v>
      </c>
      <c r="BE10" s="5" t="s">
        <v>139</v>
      </c>
      <c r="BF10" s="5" t="s">
        <v>140</v>
      </c>
      <c r="BG10" s="5" t="s">
        <v>160</v>
      </c>
      <c r="BH10" s="5"/>
      <c r="BI10" s="5"/>
      <c r="BJ10" s="5"/>
      <c r="BK10" s="5" t="s">
        <v>142</v>
      </c>
      <c r="BL10" s="5" t="s">
        <v>143</v>
      </c>
      <c r="BM10" s="5" t="s">
        <v>144</v>
      </c>
      <c r="BN10" s="5" t="s">
        <v>160</v>
      </c>
      <c r="BO10" s="5"/>
      <c r="BP10" s="5"/>
      <c r="BQ10" s="5" t="s">
        <v>165</v>
      </c>
      <c r="BR10" s="5" t="s">
        <v>147</v>
      </c>
      <c r="BS10" s="5" t="s">
        <v>160</v>
      </c>
      <c r="BT10" s="5" t="s">
        <v>149</v>
      </c>
      <c r="BU10" s="5" t="s">
        <v>150</v>
      </c>
      <c r="BV10" s="5" t="s">
        <v>160</v>
      </c>
      <c r="BW10" s="5"/>
      <c r="BX10" s="5" t="s">
        <v>176</v>
      </c>
      <c r="BY10" s="5" t="s">
        <v>167</v>
      </c>
      <c r="BZ10" s="5" t="s">
        <v>178</v>
      </c>
      <c r="CA10" s="5" t="s">
        <v>170</v>
      </c>
      <c r="CB10" s="5" t="s">
        <v>160</v>
      </c>
      <c r="CC10" s="5" t="s">
        <v>170</v>
      </c>
      <c r="CD10" s="1" t="s">
        <v>160</v>
      </c>
    </row>
    <row r="11" spans="1:82" s="1" customFormat="1" ht="27" customHeight="1" x14ac:dyDescent="0.35">
      <c r="A11" s="5">
        <v>95</v>
      </c>
      <c r="B11" s="360"/>
      <c r="C11" s="123">
        <v>46241.45239583333</v>
      </c>
      <c r="D11" s="311" t="s">
        <v>642</v>
      </c>
      <c r="E11" s="307"/>
      <c r="F11" s="10" t="s">
        <v>39</v>
      </c>
      <c r="G11" s="9" t="s">
        <v>25</v>
      </c>
      <c r="H11" s="9" t="s">
        <v>16</v>
      </c>
      <c r="I11" s="12" t="s">
        <v>27</v>
      </c>
      <c r="J11" s="5" t="s">
        <v>180</v>
      </c>
      <c r="K11" s="5" t="s">
        <v>191</v>
      </c>
      <c r="L11" s="5" t="s">
        <v>173</v>
      </c>
      <c r="M11" s="5" t="s">
        <v>160</v>
      </c>
      <c r="N11" s="5"/>
      <c r="O11" s="5"/>
      <c r="P11" s="5"/>
      <c r="Q11" s="5"/>
      <c r="R11" s="5"/>
      <c r="S11" s="5"/>
      <c r="T11" s="5" t="s">
        <v>108</v>
      </c>
      <c r="U11" s="5" t="s">
        <v>160</v>
      </c>
      <c r="V11" s="5" t="s">
        <v>110</v>
      </c>
      <c r="W11" s="5" t="s">
        <v>160</v>
      </c>
      <c r="X11" s="5"/>
      <c r="Y11" s="5"/>
      <c r="Z11" s="5"/>
      <c r="AA11" s="5"/>
      <c r="AB11" s="5" t="s">
        <v>161</v>
      </c>
      <c r="AC11" s="5" t="s">
        <v>160</v>
      </c>
      <c r="AD11" s="5" t="s">
        <v>162</v>
      </c>
      <c r="AE11" s="5" t="s">
        <v>118</v>
      </c>
      <c r="AF11" s="5" t="s">
        <v>160</v>
      </c>
      <c r="AG11" s="5"/>
      <c r="AH11" s="5"/>
      <c r="AI11" s="5" t="s">
        <v>122</v>
      </c>
      <c r="AJ11" s="5" t="s">
        <v>160</v>
      </c>
      <c r="AK11" s="5"/>
      <c r="AL11" s="5"/>
      <c r="AM11" s="5"/>
      <c r="AN11" s="5" t="s">
        <v>113</v>
      </c>
      <c r="AO11" s="5" t="s">
        <v>192</v>
      </c>
      <c r="AP11" s="5" t="s">
        <v>127</v>
      </c>
      <c r="AQ11" s="5" t="s">
        <v>128</v>
      </c>
      <c r="AR11" s="5" t="s">
        <v>129</v>
      </c>
      <c r="AS11" s="5" t="s">
        <v>130</v>
      </c>
      <c r="AT11" s="5" t="s">
        <v>160</v>
      </c>
      <c r="AU11" s="5" t="s">
        <v>113</v>
      </c>
      <c r="AV11" s="5"/>
      <c r="AW11" s="5" t="s">
        <v>193</v>
      </c>
      <c r="AX11" s="5"/>
      <c r="AY11" s="5" t="s">
        <v>134</v>
      </c>
      <c r="AZ11" s="5" t="s">
        <v>135</v>
      </c>
      <c r="BA11" s="5" t="s">
        <v>121</v>
      </c>
      <c r="BB11" s="5" t="s">
        <v>136</v>
      </c>
      <c r="BC11" s="5" t="s">
        <v>160</v>
      </c>
      <c r="BD11" s="5" t="s">
        <v>138</v>
      </c>
      <c r="BE11" s="5" t="s">
        <v>139</v>
      </c>
      <c r="BF11" s="5" t="s">
        <v>140</v>
      </c>
      <c r="BG11" s="5" t="s">
        <v>141</v>
      </c>
      <c r="BH11" s="5" t="s">
        <v>113</v>
      </c>
      <c r="BI11" s="5"/>
      <c r="BJ11" s="5" t="s">
        <v>194</v>
      </c>
      <c r="BK11" s="5" t="s">
        <v>142</v>
      </c>
      <c r="BL11" s="5" t="s">
        <v>143</v>
      </c>
      <c r="BM11" s="5" t="s">
        <v>160</v>
      </c>
      <c r="BN11" s="5"/>
      <c r="BO11" s="5" t="s">
        <v>113</v>
      </c>
      <c r="BP11" s="5" t="s">
        <v>195</v>
      </c>
      <c r="BQ11" s="5" t="s">
        <v>165</v>
      </c>
      <c r="BR11" s="5" t="s">
        <v>147</v>
      </c>
      <c r="BS11" s="5" t="s">
        <v>160</v>
      </c>
      <c r="BT11" s="5" t="s">
        <v>149</v>
      </c>
      <c r="BU11" s="5" t="s">
        <v>150</v>
      </c>
      <c r="BV11" s="5" t="s">
        <v>160</v>
      </c>
      <c r="BW11" s="5"/>
      <c r="BX11" s="5" t="s">
        <v>176</v>
      </c>
      <c r="BY11" s="5" t="s">
        <v>167</v>
      </c>
      <c r="BZ11" s="5" t="s">
        <v>165</v>
      </c>
      <c r="CA11" s="5" t="s">
        <v>170</v>
      </c>
      <c r="CB11" s="9" t="s">
        <v>196</v>
      </c>
      <c r="CC11" s="5" t="s">
        <v>197</v>
      </c>
      <c r="CD11" s="1" t="s">
        <v>160</v>
      </c>
    </row>
    <row r="12" spans="1:82" s="1" customFormat="1" ht="27" customHeight="1" x14ac:dyDescent="0.35">
      <c r="A12" s="5">
        <v>94</v>
      </c>
      <c r="B12" s="360"/>
      <c r="C12" s="123">
        <v>46239.594502314816</v>
      </c>
      <c r="D12" s="9" t="s">
        <v>643</v>
      </c>
      <c r="E12" s="178"/>
      <c r="F12" s="10" t="s">
        <v>12</v>
      </c>
      <c r="G12" s="9" t="s">
        <v>25</v>
      </c>
      <c r="H12" s="9" t="s">
        <v>16</v>
      </c>
      <c r="I12" s="12" t="s">
        <v>69</v>
      </c>
      <c r="J12" s="5" t="s">
        <v>198</v>
      </c>
      <c r="K12" s="5" t="s">
        <v>172</v>
      </c>
      <c r="L12" s="5" t="s">
        <v>173</v>
      </c>
      <c r="M12" s="5" t="s">
        <v>160</v>
      </c>
      <c r="N12" s="5"/>
      <c r="O12" s="5"/>
      <c r="P12" s="5" t="s">
        <v>104</v>
      </c>
      <c r="Q12" s="5" t="s">
        <v>160</v>
      </c>
      <c r="R12" s="5" t="s">
        <v>106</v>
      </c>
      <c r="S12" s="5" t="s">
        <v>160</v>
      </c>
      <c r="T12" s="5"/>
      <c r="U12" s="5" t="s">
        <v>109</v>
      </c>
      <c r="V12" s="5" t="s">
        <v>160</v>
      </c>
      <c r="W12" s="5"/>
      <c r="X12" s="5"/>
      <c r="Y12" s="5"/>
      <c r="Z12" s="5"/>
      <c r="AA12" s="5"/>
      <c r="AB12" s="5" t="s">
        <v>182</v>
      </c>
      <c r="AC12" s="5" t="s">
        <v>160</v>
      </c>
      <c r="AD12" s="5" t="s">
        <v>185</v>
      </c>
      <c r="AE12" s="5" t="s">
        <v>160</v>
      </c>
      <c r="AF12" s="5" t="s">
        <v>119</v>
      </c>
      <c r="AG12" s="5" t="s">
        <v>120</v>
      </c>
      <c r="AH12" s="5" t="s">
        <v>160</v>
      </c>
      <c r="AI12" s="5" t="s">
        <v>122</v>
      </c>
      <c r="AJ12" s="5" t="s">
        <v>160</v>
      </c>
      <c r="AK12" s="5"/>
      <c r="AL12" s="5"/>
      <c r="AM12" s="5"/>
      <c r="AN12" s="5"/>
      <c r="AO12" s="5"/>
      <c r="AP12" s="5"/>
      <c r="AQ12" s="5"/>
      <c r="AR12" s="5"/>
      <c r="AS12" s="5"/>
      <c r="AT12" s="5"/>
      <c r="AU12" s="5"/>
      <c r="AV12" s="5" t="s">
        <v>132</v>
      </c>
      <c r="AW12" s="5" t="s">
        <v>160</v>
      </c>
      <c r="AX12" s="5"/>
      <c r="AY12" s="5"/>
      <c r="AZ12" s="5"/>
      <c r="BA12" s="5"/>
      <c r="BB12" s="5"/>
      <c r="BC12" s="5"/>
      <c r="BD12" s="5"/>
      <c r="BE12" s="5"/>
      <c r="BF12" s="5"/>
      <c r="BG12" s="5"/>
      <c r="BH12" s="5"/>
      <c r="BI12" s="5" t="s">
        <v>132</v>
      </c>
      <c r="BJ12" s="5" t="s">
        <v>160</v>
      </c>
      <c r="BK12" s="5"/>
      <c r="BL12" s="5"/>
      <c r="BM12" s="5"/>
      <c r="BN12" s="5" t="s">
        <v>145</v>
      </c>
      <c r="BO12" s="5" t="s">
        <v>160</v>
      </c>
      <c r="BP12" s="5"/>
      <c r="BQ12" s="5" t="s">
        <v>174</v>
      </c>
      <c r="BR12" s="5"/>
      <c r="BS12" s="5" t="s">
        <v>148</v>
      </c>
      <c r="BT12" s="5" t="s">
        <v>160</v>
      </c>
      <c r="BU12" s="5"/>
      <c r="BV12" s="5" t="s">
        <v>160</v>
      </c>
      <c r="BW12" s="5"/>
      <c r="BX12" s="5" t="s">
        <v>176</v>
      </c>
      <c r="BY12" s="5" t="s">
        <v>174</v>
      </c>
      <c r="BZ12" s="5" t="s">
        <v>168</v>
      </c>
      <c r="CA12" s="5" t="s">
        <v>170</v>
      </c>
      <c r="CB12" s="5" t="s">
        <v>160</v>
      </c>
      <c r="CC12" s="5" t="s">
        <v>197</v>
      </c>
      <c r="CD12" s="1" t="s">
        <v>160</v>
      </c>
    </row>
    <row r="13" spans="1:82" s="1" customFormat="1" ht="27" customHeight="1" x14ac:dyDescent="0.35">
      <c r="A13" s="5">
        <v>93</v>
      </c>
      <c r="B13" s="360"/>
      <c r="C13" s="123">
        <v>46239.547800925924</v>
      </c>
      <c r="D13" s="9" t="s">
        <v>644</v>
      </c>
      <c r="E13" s="408" t="s">
        <v>802</v>
      </c>
      <c r="F13" s="10" t="s">
        <v>24</v>
      </c>
      <c r="G13" s="9" t="s">
        <v>25</v>
      </c>
      <c r="H13" s="9" t="s">
        <v>50</v>
      </c>
      <c r="I13" s="12" t="s">
        <v>27</v>
      </c>
      <c r="J13" s="5" t="s">
        <v>171</v>
      </c>
      <c r="K13" s="5" t="s">
        <v>158</v>
      </c>
      <c r="L13" s="5" t="s">
        <v>159</v>
      </c>
      <c r="M13" s="5" t="s">
        <v>160</v>
      </c>
      <c r="N13" s="5"/>
      <c r="O13" s="5"/>
      <c r="P13" s="5"/>
      <c r="Q13" s="5"/>
      <c r="R13" s="5" t="s">
        <v>106</v>
      </c>
      <c r="S13" s="5" t="s">
        <v>160</v>
      </c>
      <c r="T13" s="5"/>
      <c r="U13" s="5" t="s">
        <v>109</v>
      </c>
      <c r="V13" s="5" t="s">
        <v>160</v>
      </c>
      <c r="W13" s="5"/>
      <c r="X13" s="5"/>
      <c r="Y13" s="5"/>
      <c r="Z13" s="5"/>
      <c r="AA13" s="5"/>
      <c r="AB13" s="5" t="s">
        <v>161</v>
      </c>
      <c r="AC13" s="5" t="s">
        <v>160</v>
      </c>
      <c r="AD13" s="5" t="s">
        <v>162</v>
      </c>
      <c r="AE13" s="5"/>
      <c r="AF13" s="5" t="s">
        <v>119</v>
      </c>
      <c r="AG13" s="5" t="s">
        <v>160</v>
      </c>
      <c r="AH13" s="5"/>
      <c r="AI13" s="5" t="s">
        <v>122</v>
      </c>
      <c r="AJ13" s="5" t="s">
        <v>160</v>
      </c>
      <c r="AK13" s="5" t="s">
        <v>124</v>
      </c>
      <c r="AL13" s="5" t="s">
        <v>160</v>
      </c>
      <c r="AM13" s="5"/>
      <c r="AN13" s="5"/>
      <c r="AO13" s="5"/>
      <c r="AP13" s="5" t="s">
        <v>127</v>
      </c>
      <c r="AQ13" s="5" t="s">
        <v>160</v>
      </c>
      <c r="AR13" s="5"/>
      <c r="AS13" s="5" t="s">
        <v>130</v>
      </c>
      <c r="AT13" s="5" t="s">
        <v>131</v>
      </c>
      <c r="AU13" s="5" t="s">
        <v>113</v>
      </c>
      <c r="AV13" s="5"/>
      <c r="AW13" s="5" t="s">
        <v>199</v>
      </c>
      <c r="AX13" s="5" t="s">
        <v>160</v>
      </c>
      <c r="AY13" s="5" t="s">
        <v>134</v>
      </c>
      <c r="AZ13" s="5" t="s">
        <v>160</v>
      </c>
      <c r="BA13" s="5" t="s">
        <v>121</v>
      </c>
      <c r="BB13" s="5" t="s">
        <v>136</v>
      </c>
      <c r="BC13" s="5" t="s">
        <v>137</v>
      </c>
      <c r="BD13" s="5" t="s">
        <v>138</v>
      </c>
      <c r="BE13" s="5" t="s">
        <v>160</v>
      </c>
      <c r="BF13" s="5"/>
      <c r="BG13" s="5" t="s">
        <v>141</v>
      </c>
      <c r="BH13" s="5" t="s">
        <v>160</v>
      </c>
      <c r="BI13" s="5"/>
      <c r="BJ13" s="5"/>
      <c r="BK13" s="5" t="s">
        <v>142</v>
      </c>
      <c r="BL13" s="5" t="s">
        <v>143</v>
      </c>
      <c r="BM13" s="5" t="s">
        <v>144</v>
      </c>
      <c r="BN13" s="5" t="s">
        <v>160</v>
      </c>
      <c r="BO13" s="5"/>
      <c r="BP13" s="5"/>
      <c r="BQ13" s="5" t="s">
        <v>165</v>
      </c>
      <c r="BR13" s="5" t="s">
        <v>147</v>
      </c>
      <c r="BS13" s="5" t="s">
        <v>160</v>
      </c>
      <c r="BT13" s="5" t="s">
        <v>149</v>
      </c>
      <c r="BU13" s="5" t="s">
        <v>150</v>
      </c>
      <c r="BV13" s="5" t="s">
        <v>160</v>
      </c>
      <c r="BW13" s="5"/>
      <c r="BX13" s="5" t="s">
        <v>166</v>
      </c>
      <c r="BY13" s="5" t="s">
        <v>167</v>
      </c>
      <c r="BZ13" s="5" t="s">
        <v>168</v>
      </c>
      <c r="CA13" s="5" t="s">
        <v>170</v>
      </c>
      <c r="CB13" s="5" t="s">
        <v>160</v>
      </c>
      <c r="CC13" s="5" t="s">
        <v>170</v>
      </c>
      <c r="CD13" s="1" t="s">
        <v>160</v>
      </c>
    </row>
    <row r="14" spans="1:82" s="1" customFormat="1" ht="27" customHeight="1" thickBot="1" x14ac:dyDescent="0.4">
      <c r="A14" s="5">
        <v>92</v>
      </c>
      <c r="B14" s="360"/>
      <c r="C14" s="123">
        <v>46239.463368055556</v>
      </c>
      <c r="D14" s="311" t="s">
        <v>645</v>
      </c>
      <c r="E14" s="307"/>
      <c r="F14" s="10" t="s">
        <v>12</v>
      </c>
      <c r="G14" s="9" t="s">
        <v>25</v>
      </c>
      <c r="H14" s="9" t="s">
        <v>68</v>
      </c>
      <c r="I14" s="251" t="s">
        <v>27</v>
      </c>
      <c r="J14" s="5" t="s">
        <v>171</v>
      </c>
      <c r="K14" s="5" t="s">
        <v>191</v>
      </c>
      <c r="L14" s="5" t="s">
        <v>181</v>
      </c>
      <c r="M14" s="5" t="s">
        <v>160</v>
      </c>
      <c r="N14" s="5"/>
      <c r="O14" s="5"/>
      <c r="P14" s="5"/>
      <c r="Q14" s="5"/>
      <c r="R14" s="5"/>
      <c r="S14" s="5"/>
      <c r="T14" s="5" t="s">
        <v>108</v>
      </c>
      <c r="U14" s="5" t="s">
        <v>160</v>
      </c>
      <c r="V14" s="5" t="s">
        <v>110</v>
      </c>
      <c r="W14" s="5" t="s">
        <v>160</v>
      </c>
      <c r="X14" s="5"/>
      <c r="Y14" s="5"/>
      <c r="Z14" s="5"/>
      <c r="AA14" s="5"/>
      <c r="AB14" s="5" t="s">
        <v>182</v>
      </c>
      <c r="AC14" s="5" t="s">
        <v>160</v>
      </c>
      <c r="AD14" s="5" t="s">
        <v>165</v>
      </c>
      <c r="AE14" s="5" t="s">
        <v>160</v>
      </c>
      <c r="AF14" s="5"/>
      <c r="AG14" s="5"/>
      <c r="AH14" s="5"/>
      <c r="AI14" s="5" t="s">
        <v>122</v>
      </c>
      <c r="AJ14" s="5" t="s">
        <v>123</v>
      </c>
      <c r="AK14" s="5" t="s">
        <v>124</v>
      </c>
      <c r="AL14" s="5" t="s">
        <v>160</v>
      </c>
      <c r="AM14" s="5"/>
      <c r="AN14" s="5"/>
      <c r="AO14" s="5"/>
      <c r="AP14" s="5" t="s">
        <v>127</v>
      </c>
      <c r="AQ14" s="5"/>
      <c r="AR14" s="5" t="s">
        <v>129</v>
      </c>
      <c r="AS14" s="5" t="s">
        <v>130</v>
      </c>
      <c r="AT14" s="5" t="s">
        <v>131</v>
      </c>
      <c r="AU14" s="5" t="s">
        <v>160</v>
      </c>
      <c r="AV14" s="5"/>
      <c r="AW14" s="5"/>
      <c r="AX14" s="5"/>
      <c r="AY14" s="5"/>
      <c r="AZ14" s="5"/>
      <c r="BA14" s="5"/>
      <c r="BB14" s="5"/>
      <c r="BC14" s="5"/>
      <c r="BD14" s="5" t="s">
        <v>138</v>
      </c>
      <c r="BE14" s="5"/>
      <c r="BF14" s="5"/>
      <c r="BG14" s="5"/>
      <c r="BH14" s="5"/>
      <c r="BI14" s="5"/>
      <c r="BJ14" s="5"/>
      <c r="BK14" s="5" t="s">
        <v>142</v>
      </c>
      <c r="BL14" s="5"/>
      <c r="BM14" s="5" t="s">
        <v>144</v>
      </c>
      <c r="BN14" s="5" t="s">
        <v>160</v>
      </c>
      <c r="BO14" s="5"/>
      <c r="BP14" s="5"/>
      <c r="BQ14" s="5" t="s">
        <v>165</v>
      </c>
      <c r="BR14" s="5" t="s">
        <v>147</v>
      </c>
      <c r="BS14" s="5" t="s">
        <v>160</v>
      </c>
      <c r="BT14" s="5" t="s">
        <v>149</v>
      </c>
      <c r="BU14" s="5" t="s">
        <v>150</v>
      </c>
      <c r="BV14" s="5" t="s">
        <v>160</v>
      </c>
      <c r="BW14" s="5"/>
      <c r="BX14" s="5" t="s">
        <v>166</v>
      </c>
      <c r="BY14" s="5" t="s">
        <v>177</v>
      </c>
      <c r="BZ14" s="5" t="s">
        <v>178</v>
      </c>
      <c r="CA14" s="5" t="s">
        <v>170</v>
      </c>
      <c r="CB14" s="5" t="s">
        <v>160</v>
      </c>
      <c r="CC14" s="5" t="s">
        <v>170</v>
      </c>
      <c r="CD14" s="1" t="s">
        <v>160</v>
      </c>
    </row>
    <row r="15" spans="1:82" s="1" customFormat="1" ht="27" customHeight="1" x14ac:dyDescent="0.35">
      <c r="A15" s="5">
        <v>91</v>
      </c>
      <c r="B15" s="360"/>
      <c r="C15" s="123">
        <v>46238.789247685185</v>
      </c>
      <c r="D15" s="311" t="s">
        <v>646</v>
      </c>
      <c r="E15" s="307"/>
      <c r="F15" s="10" t="s">
        <v>49</v>
      </c>
      <c r="G15" s="9" t="s">
        <v>25</v>
      </c>
      <c r="H15" s="9" t="s">
        <v>16</v>
      </c>
      <c r="I15" s="12" t="s">
        <v>69</v>
      </c>
      <c r="J15" s="5" t="s">
        <v>180</v>
      </c>
      <c r="K15" s="5" t="s">
        <v>158</v>
      </c>
      <c r="L15" s="5" t="s">
        <v>159</v>
      </c>
      <c r="M15" s="5" t="s">
        <v>101</v>
      </c>
      <c r="N15" s="5" t="s">
        <v>160</v>
      </c>
      <c r="O15" s="5"/>
      <c r="P15" s="5"/>
      <c r="Q15" s="5"/>
      <c r="R15" s="5"/>
      <c r="S15" s="5"/>
      <c r="T15" s="5"/>
      <c r="U15" s="5"/>
      <c r="V15" s="5"/>
      <c r="W15" s="5" t="s">
        <v>111</v>
      </c>
      <c r="X15" s="5" t="s">
        <v>112</v>
      </c>
      <c r="Y15" s="5" t="s">
        <v>160</v>
      </c>
      <c r="Z15" s="5"/>
      <c r="AA15" s="5"/>
      <c r="AB15" s="5" t="s">
        <v>200</v>
      </c>
      <c r="AC15" s="5" t="s">
        <v>160</v>
      </c>
      <c r="AD15" s="5" t="s">
        <v>165</v>
      </c>
      <c r="AE15" s="5" t="s">
        <v>160</v>
      </c>
      <c r="AF15" s="5" t="s">
        <v>119</v>
      </c>
      <c r="AG15" s="5" t="s">
        <v>120</v>
      </c>
      <c r="AH15" s="5" t="s">
        <v>160</v>
      </c>
      <c r="AI15" s="5" t="s">
        <v>122</v>
      </c>
      <c r="AJ15" s="5" t="s">
        <v>160</v>
      </c>
      <c r="AK15" s="5"/>
      <c r="AL15" s="5"/>
      <c r="AM15" s="5"/>
      <c r="AN15" s="5"/>
      <c r="AO15" s="5"/>
      <c r="AP15" s="5"/>
      <c r="AQ15" s="5"/>
      <c r="AR15" s="5"/>
      <c r="AS15" s="5" t="s">
        <v>130</v>
      </c>
      <c r="AT15" s="5" t="s">
        <v>160</v>
      </c>
      <c r="AU15" s="5"/>
      <c r="AV15" s="5"/>
      <c r="AW15" s="5"/>
      <c r="AX15" s="5"/>
      <c r="AY15" s="5" t="s">
        <v>134</v>
      </c>
      <c r="AZ15" s="5" t="s">
        <v>135</v>
      </c>
      <c r="BA15" s="5" t="s">
        <v>121</v>
      </c>
      <c r="BB15" s="5" t="s">
        <v>136</v>
      </c>
      <c r="BC15" s="5"/>
      <c r="BD15" s="5" t="s">
        <v>138</v>
      </c>
      <c r="BE15" s="5" t="s">
        <v>139</v>
      </c>
      <c r="BF15" s="5" t="s">
        <v>140</v>
      </c>
      <c r="BG15" s="5" t="s">
        <v>141</v>
      </c>
      <c r="BH15" s="5" t="s">
        <v>160</v>
      </c>
      <c r="BI15" s="5"/>
      <c r="BJ15" s="5"/>
      <c r="BK15" s="5"/>
      <c r="BL15" s="5"/>
      <c r="BM15" s="5" t="s">
        <v>144</v>
      </c>
      <c r="BN15" s="5" t="s">
        <v>160</v>
      </c>
      <c r="BO15" s="5"/>
      <c r="BP15" s="5"/>
      <c r="BQ15" s="5" t="s">
        <v>174</v>
      </c>
      <c r="BR15" s="5" t="s">
        <v>147</v>
      </c>
      <c r="BS15" s="5" t="s">
        <v>160</v>
      </c>
      <c r="BT15" s="5"/>
      <c r="BU15" s="5"/>
      <c r="BV15" s="5"/>
      <c r="BW15" s="5"/>
      <c r="BX15" s="5" t="s">
        <v>166</v>
      </c>
      <c r="BY15" s="5" t="s">
        <v>167</v>
      </c>
      <c r="BZ15" s="5" t="s">
        <v>165</v>
      </c>
      <c r="CA15" s="5" t="s">
        <v>169</v>
      </c>
      <c r="CB15" s="5"/>
      <c r="CC15" s="5" t="s">
        <v>169</v>
      </c>
    </row>
    <row r="16" spans="1:82" s="1" customFormat="1" ht="27" customHeight="1" thickBot="1" x14ac:dyDescent="0.4">
      <c r="A16" s="116">
        <v>90</v>
      </c>
      <c r="B16" s="360"/>
      <c r="C16" s="129">
        <v>46238.412094907406</v>
      </c>
      <c r="D16" s="9" t="s">
        <v>647</v>
      </c>
      <c r="E16" s="307"/>
      <c r="F16" s="249" t="s">
        <v>49</v>
      </c>
      <c r="G16" s="9" t="s">
        <v>48</v>
      </c>
      <c r="H16" s="9" t="s">
        <v>50</v>
      </c>
      <c r="I16" s="12" t="s">
        <v>32</v>
      </c>
      <c r="J16" s="116" t="s">
        <v>180</v>
      </c>
      <c r="K16" s="116" t="s">
        <v>191</v>
      </c>
      <c r="L16" s="116" t="s">
        <v>201</v>
      </c>
      <c r="M16" s="116"/>
      <c r="N16" s="116"/>
      <c r="O16" s="116"/>
      <c r="P16" s="116"/>
      <c r="Q16" s="116"/>
      <c r="R16" s="116"/>
      <c r="S16" s="116"/>
      <c r="T16" s="116" t="s">
        <v>108</v>
      </c>
      <c r="U16" s="116" t="s">
        <v>109</v>
      </c>
      <c r="V16" s="116" t="s">
        <v>160</v>
      </c>
      <c r="W16" s="116"/>
      <c r="X16" s="116"/>
      <c r="Y16" s="116"/>
      <c r="Z16" s="116"/>
      <c r="AA16" s="116"/>
      <c r="AB16" s="116" t="s">
        <v>161</v>
      </c>
      <c r="AC16" s="116" t="s">
        <v>160</v>
      </c>
      <c r="AD16" s="116" t="s">
        <v>165</v>
      </c>
      <c r="AE16" s="116" t="s">
        <v>160</v>
      </c>
      <c r="AF16" s="116"/>
      <c r="AG16" s="116"/>
      <c r="AH16" s="116"/>
      <c r="AI16" s="116" t="s">
        <v>122</v>
      </c>
      <c r="AJ16" s="116" t="s">
        <v>160</v>
      </c>
      <c r="AK16" s="116" t="s">
        <v>124</v>
      </c>
      <c r="AL16" s="116" t="s">
        <v>160</v>
      </c>
      <c r="AM16" s="116" t="s">
        <v>126</v>
      </c>
      <c r="AN16" s="116" t="s">
        <v>160</v>
      </c>
      <c r="AO16" s="116"/>
      <c r="AP16" s="116" t="s">
        <v>127</v>
      </c>
      <c r="AQ16" s="116" t="s">
        <v>160</v>
      </c>
      <c r="AR16" s="116" t="s">
        <v>129</v>
      </c>
      <c r="AS16" s="116" t="s">
        <v>130</v>
      </c>
      <c r="AT16" s="116" t="s">
        <v>131</v>
      </c>
      <c r="AU16" s="116" t="s">
        <v>160</v>
      </c>
      <c r="AV16" s="116"/>
      <c r="AW16" s="116"/>
      <c r="AX16" s="116" t="s">
        <v>133</v>
      </c>
      <c r="AY16" s="116" t="s">
        <v>134</v>
      </c>
      <c r="AZ16" s="116" t="s">
        <v>135</v>
      </c>
      <c r="BA16" s="116" t="s">
        <v>121</v>
      </c>
      <c r="BB16" s="116" t="s">
        <v>136</v>
      </c>
      <c r="BC16" s="116" t="s">
        <v>137</v>
      </c>
      <c r="BD16" s="116" t="s">
        <v>138</v>
      </c>
      <c r="BE16" s="116" t="s">
        <v>160</v>
      </c>
      <c r="BF16" s="116" t="s">
        <v>140</v>
      </c>
      <c r="BG16" s="116" t="s">
        <v>141</v>
      </c>
      <c r="BH16" s="116" t="s">
        <v>160</v>
      </c>
      <c r="BI16" s="116"/>
      <c r="BJ16" s="116"/>
      <c r="BK16" s="116" t="s">
        <v>142</v>
      </c>
      <c r="BL16" s="116"/>
      <c r="BM16" s="116"/>
      <c r="BN16" s="116"/>
      <c r="BO16" s="116" t="s">
        <v>113</v>
      </c>
      <c r="BP16" s="116" t="s">
        <v>202</v>
      </c>
      <c r="BQ16" s="116" t="s">
        <v>174</v>
      </c>
      <c r="BR16" s="116"/>
      <c r="BS16" s="116"/>
      <c r="BT16" s="116"/>
      <c r="BU16" s="116" t="s">
        <v>150</v>
      </c>
      <c r="BV16" s="116" t="s">
        <v>160</v>
      </c>
      <c r="BW16" s="116"/>
      <c r="BX16" s="116" t="s">
        <v>166</v>
      </c>
      <c r="BY16" s="116" t="s">
        <v>177</v>
      </c>
      <c r="BZ16" s="116" t="s">
        <v>168</v>
      </c>
      <c r="CA16" s="116" t="s">
        <v>170</v>
      </c>
      <c r="CB16" s="116" t="s">
        <v>160</v>
      </c>
      <c r="CC16" s="116" t="s">
        <v>170</v>
      </c>
      <c r="CD16" s="1" t="s">
        <v>160</v>
      </c>
    </row>
    <row r="17" spans="1:82" s="1" customFormat="1" ht="27" customHeight="1" x14ac:dyDescent="0.35">
      <c r="A17" s="231">
        <v>89</v>
      </c>
      <c r="B17" s="351">
        <v>46204</v>
      </c>
      <c r="C17" s="230">
        <v>46230.649942129632</v>
      </c>
      <c r="D17" s="241" t="s">
        <v>648</v>
      </c>
      <c r="E17" s="308"/>
      <c r="F17" s="242" t="s">
        <v>30</v>
      </c>
      <c r="G17" s="241" t="s">
        <v>31</v>
      </c>
      <c r="H17" s="241" t="s">
        <v>50</v>
      </c>
      <c r="I17" s="243" t="s">
        <v>71</v>
      </c>
      <c r="J17" s="231" t="s">
        <v>171</v>
      </c>
      <c r="K17" s="231" t="s">
        <v>191</v>
      </c>
      <c r="L17" s="231" t="s">
        <v>159</v>
      </c>
      <c r="M17" s="231" t="s">
        <v>160</v>
      </c>
      <c r="N17" s="231"/>
      <c r="O17" s="231"/>
      <c r="P17" s="231"/>
      <c r="Q17" s="231"/>
      <c r="R17" s="231"/>
      <c r="S17" s="231"/>
      <c r="T17" s="231" t="s">
        <v>108</v>
      </c>
      <c r="U17" s="231" t="s">
        <v>109</v>
      </c>
      <c r="V17" s="231" t="s">
        <v>110</v>
      </c>
      <c r="W17" s="231" t="s">
        <v>160</v>
      </c>
      <c r="X17" s="231"/>
      <c r="Y17" s="231"/>
      <c r="Z17" s="231"/>
      <c r="AA17" s="231"/>
      <c r="AB17" s="231" t="s">
        <v>161</v>
      </c>
      <c r="AC17" s="231" t="s">
        <v>160</v>
      </c>
      <c r="AD17" s="231" t="s">
        <v>162</v>
      </c>
      <c r="AE17" s="231"/>
      <c r="AF17" s="231"/>
      <c r="AG17" s="231" t="s">
        <v>120</v>
      </c>
      <c r="AH17" s="231" t="s">
        <v>160</v>
      </c>
      <c r="AI17" s="231" t="s">
        <v>122</v>
      </c>
      <c r="AJ17" s="231" t="s">
        <v>160</v>
      </c>
      <c r="AK17" s="231" t="s">
        <v>124</v>
      </c>
      <c r="AL17" s="231" t="s">
        <v>160</v>
      </c>
      <c r="AM17" s="231"/>
      <c r="AN17" s="231"/>
      <c r="AO17" s="231"/>
      <c r="AP17" s="231" t="s">
        <v>127</v>
      </c>
      <c r="AQ17" s="231" t="s">
        <v>128</v>
      </c>
      <c r="AR17" s="231" t="s">
        <v>129</v>
      </c>
      <c r="AS17" s="231" t="s">
        <v>130</v>
      </c>
      <c r="AT17" s="231" t="s">
        <v>131</v>
      </c>
      <c r="AU17" s="231" t="s">
        <v>160</v>
      </c>
      <c r="AV17" s="231"/>
      <c r="AW17" s="231"/>
      <c r="AX17" s="231" t="s">
        <v>133</v>
      </c>
      <c r="AY17" s="231"/>
      <c r="AZ17" s="231"/>
      <c r="BA17" s="231"/>
      <c r="BB17" s="231" t="s">
        <v>136</v>
      </c>
      <c r="BC17" s="231" t="s">
        <v>137</v>
      </c>
      <c r="BD17" s="231" t="s">
        <v>138</v>
      </c>
      <c r="BE17" s="231" t="s">
        <v>139</v>
      </c>
      <c r="BF17" s="231" t="s">
        <v>160</v>
      </c>
      <c r="BG17" s="231" t="s">
        <v>141</v>
      </c>
      <c r="BH17" s="231" t="s">
        <v>160</v>
      </c>
      <c r="BI17" s="231"/>
      <c r="BJ17" s="231"/>
      <c r="BK17" s="231" t="s">
        <v>142</v>
      </c>
      <c r="BL17" s="231" t="s">
        <v>160</v>
      </c>
      <c r="BM17" s="231" t="s">
        <v>144</v>
      </c>
      <c r="BN17" s="231" t="s">
        <v>160</v>
      </c>
      <c r="BO17" s="231"/>
      <c r="BP17" s="231"/>
      <c r="BQ17" s="231" t="s">
        <v>178</v>
      </c>
      <c r="BR17" s="231" t="s">
        <v>147</v>
      </c>
      <c r="BS17" s="231" t="s">
        <v>160</v>
      </c>
      <c r="BT17" s="231" t="s">
        <v>149</v>
      </c>
      <c r="BU17" s="231" t="s">
        <v>150</v>
      </c>
      <c r="BV17" s="231" t="s">
        <v>160</v>
      </c>
      <c r="BW17" s="231"/>
      <c r="BX17" s="231" t="s">
        <v>166</v>
      </c>
      <c r="BY17" s="231" t="s">
        <v>177</v>
      </c>
      <c r="BZ17" s="231" t="s">
        <v>168</v>
      </c>
      <c r="CA17" s="231" t="s">
        <v>169</v>
      </c>
      <c r="CB17" s="231"/>
      <c r="CC17" s="231" t="s">
        <v>170</v>
      </c>
      <c r="CD17" s="1" t="s">
        <v>160</v>
      </c>
    </row>
    <row r="18" spans="1:82" s="1" customFormat="1" ht="27" customHeight="1" x14ac:dyDescent="0.35">
      <c r="A18" s="5">
        <v>88</v>
      </c>
      <c r="B18" s="352"/>
      <c r="C18" s="123">
        <v>46225.6559375</v>
      </c>
      <c r="D18" s="9" t="s">
        <v>649</v>
      </c>
      <c r="E18" s="178"/>
      <c r="F18" s="10" t="s">
        <v>30</v>
      </c>
      <c r="G18" s="9" t="s">
        <v>16</v>
      </c>
      <c r="H18" s="9" t="s">
        <v>16</v>
      </c>
      <c r="I18" s="12" t="s">
        <v>71</v>
      </c>
      <c r="J18" s="5" t="s">
        <v>198</v>
      </c>
      <c r="K18" s="5" t="s">
        <v>172</v>
      </c>
      <c r="L18" s="5" t="s">
        <v>173</v>
      </c>
      <c r="M18" s="5" t="s">
        <v>160</v>
      </c>
      <c r="N18" s="5"/>
      <c r="O18" s="5" t="s">
        <v>103</v>
      </c>
      <c r="P18" s="5"/>
      <c r="Q18" s="5"/>
      <c r="R18" s="5"/>
      <c r="S18" s="5"/>
      <c r="T18" s="5"/>
      <c r="U18" s="5"/>
      <c r="V18" s="5"/>
      <c r="W18" s="5"/>
      <c r="X18" s="5"/>
      <c r="Y18" s="5"/>
      <c r="Z18" s="5"/>
      <c r="AA18" s="5"/>
      <c r="AB18" s="5" t="s">
        <v>161</v>
      </c>
      <c r="AC18" s="5" t="s">
        <v>160</v>
      </c>
      <c r="AD18" s="5" t="s">
        <v>162</v>
      </c>
      <c r="AE18" s="5"/>
      <c r="AF18" s="5"/>
      <c r="AG18" s="5"/>
      <c r="AH18" s="5"/>
      <c r="AI18" s="5" t="s">
        <v>122</v>
      </c>
      <c r="AJ18" s="5" t="s">
        <v>160</v>
      </c>
      <c r="AK18" s="5"/>
      <c r="AL18" s="5"/>
      <c r="AM18" s="5"/>
      <c r="AN18" s="5"/>
      <c r="AO18" s="5"/>
      <c r="AP18" s="5" t="s">
        <v>127</v>
      </c>
      <c r="AQ18" s="5"/>
      <c r="AR18" s="5" t="s">
        <v>129</v>
      </c>
      <c r="AS18" s="5"/>
      <c r="AT18" s="5" t="s">
        <v>131</v>
      </c>
      <c r="AU18" s="5" t="s">
        <v>160</v>
      </c>
      <c r="AV18" s="5"/>
      <c r="AW18" s="5"/>
      <c r="AX18" s="5"/>
      <c r="AY18" s="5"/>
      <c r="AZ18" s="5"/>
      <c r="BA18" s="5"/>
      <c r="BB18" s="5"/>
      <c r="BC18" s="5"/>
      <c r="BD18" s="5"/>
      <c r="BE18" s="5"/>
      <c r="BF18" s="5"/>
      <c r="BG18" s="5"/>
      <c r="BH18" s="5"/>
      <c r="BI18" s="5" t="s">
        <v>132</v>
      </c>
      <c r="BJ18" s="5" t="s">
        <v>160</v>
      </c>
      <c r="BK18" s="5" t="s">
        <v>142</v>
      </c>
      <c r="BL18" s="5" t="s">
        <v>160</v>
      </c>
      <c r="BM18" s="5"/>
      <c r="BN18" s="5"/>
      <c r="BO18" s="5"/>
      <c r="BP18" s="5"/>
      <c r="BQ18" s="5" t="s">
        <v>174</v>
      </c>
      <c r="BR18" s="5"/>
      <c r="BS18" s="5"/>
      <c r="BT18" s="5"/>
      <c r="BU18" s="5" t="s">
        <v>150</v>
      </c>
      <c r="BV18" s="5" t="s">
        <v>160</v>
      </c>
      <c r="BW18" s="5"/>
      <c r="BX18" s="5" t="s">
        <v>176</v>
      </c>
      <c r="BY18" s="5" t="s">
        <v>177</v>
      </c>
      <c r="BZ18" s="5" t="s">
        <v>178</v>
      </c>
      <c r="CA18" s="5" t="s">
        <v>170</v>
      </c>
      <c r="CB18" s="5" t="s">
        <v>160</v>
      </c>
      <c r="CC18" s="5" t="s">
        <v>170</v>
      </c>
      <c r="CD18" s="1" t="s">
        <v>160</v>
      </c>
    </row>
    <row r="19" spans="1:82" s="1" customFormat="1" ht="27" customHeight="1" x14ac:dyDescent="0.35">
      <c r="A19" s="5">
        <v>87</v>
      </c>
      <c r="B19" s="352"/>
      <c r="C19" s="123">
        <v>46220.652291666665</v>
      </c>
      <c r="D19" s="9" t="s">
        <v>650</v>
      </c>
      <c r="E19" s="178"/>
      <c r="F19" s="10" t="s">
        <v>39</v>
      </c>
      <c r="G19" s="9" t="s">
        <v>31</v>
      </c>
      <c r="H19" s="9" t="s">
        <v>16</v>
      </c>
      <c r="I19" s="12" t="s">
        <v>27</v>
      </c>
      <c r="J19" s="5" t="s">
        <v>171</v>
      </c>
      <c r="K19" s="5" t="s">
        <v>158</v>
      </c>
      <c r="L19" s="5" t="s">
        <v>203</v>
      </c>
      <c r="M19" s="5" t="s">
        <v>160</v>
      </c>
      <c r="N19" s="5"/>
      <c r="O19" s="5"/>
      <c r="P19" s="5"/>
      <c r="Q19" s="5"/>
      <c r="R19" s="5"/>
      <c r="S19" s="5"/>
      <c r="T19" s="5" t="s">
        <v>108</v>
      </c>
      <c r="U19" s="5" t="s">
        <v>160</v>
      </c>
      <c r="V19" s="5" t="s">
        <v>110</v>
      </c>
      <c r="W19" s="5" t="s">
        <v>160</v>
      </c>
      <c r="X19" s="5"/>
      <c r="Y19" s="5" t="s">
        <v>113</v>
      </c>
      <c r="Z19" s="5"/>
      <c r="AA19" s="5" t="s">
        <v>204</v>
      </c>
      <c r="AB19" s="5" t="s">
        <v>161</v>
      </c>
      <c r="AC19" s="5" t="s">
        <v>160</v>
      </c>
      <c r="AD19" s="5" t="s">
        <v>162</v>
      </c>
      <c r="AE19" s="5"/>
      <c r="AF19" s="5" t="s">
        <v>119</v>
      </c>
      <c r="AG19" s="5" t="s">
        <v>120</v>
      </c>
      <c r="AH19" s="5" t="s">
        <v>160</v>
      </c>
      <c r="AI19" s="5" t="s">
        <v>122</v>
      </c>
      <c r="AJ19" s="5" t="s">
        <v>160</v>
      </c>
      <c r="AK19" s="5"/>
      <c r="AL19" s="5"/>
      <c r="AM19" s="5"/>
      <c r="AN19" s="5"/>
      <c r="AO19" s="5"/>
      <c r="AP19" s="5" t="s">
        <v>127</v>
      </c>
      <c r="AQ19" s="5" t="s">
        <v>128</v>
      </c>
      <c r="AR19" s="5" t="s">
        <v>129</v>
      </c>
      <c r="AS19" s="5" t="s">
        <v>130</v>
      </c>
      <c r="AT19" s="5" t="s">
        <v>160</v>
      </c>
      <c r="AU19" s="5"/>
      <c r="AV19" s="5"/>
      <c r="AW19" s="5"/>
      <c r="AX19" s="5" t="s">
        <v>133</v>
      </c>
      <c r="AY19" s="5" t="s">
        <v>134</v>
      </c>
      <c r="AZ19" s="5" t="s">
        <v>135</v>
      </c>
      <c r="BA19" s="5" t="s">
        <v>121</v>
      </c>
      <c r="BB19" s="5" t="s">
        <v>136</v>
      </c>
      <c r="BC19" s="5" t="s">
        <v>137</v>
      </c>
      <c r="BD19" s="5" t="s">
        <v>138</v>
      </c>
      <c r="BE19" s="5" t="s">
        <v>139</v>
      </c>
      <c r="BF19" s="5" t="s">
        <v>140</v>
      </c>
      <c r="BG19" s="5" t="s">
        <v>141</v>
      </c>
      <c r="BH19" s="5" t="s">
        <v>160</v>
      </c>
      <c r="BI19" s="5"/>
      <c r="BJ19" s="5"/>
      <c r="BK19" s="5" t="s">
        <v>142</v>
      </c>
      <c r="BL19" s="5" t="s">
        <v>143</v>
      </c>
      <c r="BM19" s="5" t="s">
        <v>160</v>
      </c>
      <c r="BN19" s="5"/>
      <c r="BO19" s="5"/>
      <c r="BP19" s="5"/>
      <c r="BQ19" s="5" t="s">
        <v>178</v>
      </c>
      <c r="BR19" s="5" t="s">
        <v>147</v>
      </c>
      <c r="BS19" s="5" t="s">
        <v>160</v>
      </c>
      <c r="BT19" s="5" t="s">
        <v>149</v>
      </c>
      <c r="BU19" s="5" t="s">
        <v>150</v>
      </c>
      <c r="BV19" s="5" t="s">
        <v>160</v>
      </c>
      <c r="BW19" s="5"/>
      <c r="BX19" s="5" t="s">
        <v>166</v>
      </c>
      <c r="BY19" s="5" t="s">
        <v>167</v>
      </c>
      <c r="BZ19" s="5" t="s">
        <v>168</v>
      </c>
      <c r="CA19" s="5" t="s">
        <v>170</v>
      </c>
      <c r="CB19" s="5" t="s">
        <v>160</v>
      </c>
      <c r="CC19" s="5" t="s">
        <v>170</v>
      </c>
      <c r="CD19" s="1" t="s">
        <v>160</v>
      </c>
    </row>
    <row r="20" spans="1:82" s="1" customFormat="1" ht="27" customHeight="1" x14ac:dyDescent="0.35">
      <c r="A20" s="5">
        <v>86</v>
      </c>
      <c r="B20" s="352"/>
      <c r="C20" s="123">
        <v>46220.639409722222</v>
      </c>
      <c r="D20" s="9" t="s">
        <v>651</v>
      </c>
      <c r="E20" s="178"/>
      <c r="F20" s="10" t="s">
        <v>35</v>
      </c>
      <c r="G20" s="9" t="s">
        <v>13</v>
      </c>
      <c r="H20" s="9" t="s">
        <v>16</v>
      </c>
      <c r="I20" s="12" t="s">
        <v>69</v>
      </c>
      <c r="J20" s="5" t="s">
        <v>184</v>
      </c>
      <c r="K20" s="5" t="s">
        <v>158</v>
      </c>
      <c r="L20" s="5" t="s">
        <v>173</v>
      </c>
      <c r="M20" s="5" t="s">
        <v>160</v>
      </c>
      <c r="N20" s="5" t="s">
        <v>102</v>
      </c>
      <c r="O20" s="5" t="s">
        <v>160</v>
      </c>
      <c r="P20" s="5"/>
      <c r="Q20" s="5"/>
      <c r="R20" s="5"/>
      <c r="S20" s="5"/>
      <c r="T20" s="5" t="s">
        <v>108</v>
      </c>
      <c r="U20" s="5" t="s">
        <v>109</v>
      </c>
      <c r="V20" s="5" t="s">
        <v>160</v>
      </c>
      <c r="W20" s="5"/>
      <c r="X20" s="5"/>
      <c r="Y20" s="5"/>
      <c r="Z20" s="5"/>
      <c r="AA20" s="5"/>
      <c r="AB20" s="5" t="s">
        <v>182</v>
      </c>
      <c r="AC20" s="5" t="s">
        <v>160</v>
      </c>
      <c r="AD20" s="5" t="s">
        <v>162</v>
      </c>
      <c r="AE20" s="5" t="s">
        <v>118</v>
      </c>
      <c r="AF20" s="5" t="s">
        <v>160</v>
      </c>
      <c r="AG20" s="5"/>
      <c r="AH20" s="5"/>
      <c r="AI20" s="5" t="s">
        <v>122</v>
      </c>
      <c r="AJ20" s="5" t="s">
        <v>160</v>
      </c>
      <c r="AK20" s="5" t="s">
        <v>124</v>
      </c>
      <c r="AL20" s="5" t="s">
        <v>160</v>
      </c>
      <c r="AM20" s="5"/>
      <c r="AN20" s="5"/>
      <c r="AO20" s="5"/>
      <c r="AP20" s="5"/>
      <c r="AQ20" s="5"/>
      <c r="AR20" s="5"/>
      <c r="AS20" s="5"/>
      <c r="AT20" s="5"/>
      <c r="AU20" s="5"/>
      <c r="AV20" s="5" t="s">
        <v>132</v>
      </c>
      <c r="AW20" s="5" t="s">
        <v>160</v>
      </c>
      <c r="AX20" s="5"/>
      <c r="AY20" s="5" t="s">
        <v>134</v>
      </c>
      <c r="AZ20" s="5" t="s">
        <v>160</v>
      </c>
      <c r="BA20" s="5"/>
      <c r="BB20" s="5" t="s">
        <v>136</v>
      </c>
      <c r="BC20" s="5" t="s">
        <v>160</v>
      </c>
      <c r="BD20" s="5"/>
      <c r="BE20" s="5" t="s">
        <v>139</v>
      </c>
      <c r="BF20" s="5" t="s">
        <v>140</v>
      </c>
      <c r="BG20" s="5" t="s">
        <v>160</v>
      </c>
      <c r="BH20" s="5"/>
      <c r="BI20" s="5"/>
      <c r="BJ20" s="5"/>
      <c r="BK20" s="5"/>
      <c r="BL20" s="5"/>
      <c r="BM20" s="5" t="s">
        <v>144</v>
      </c>
      <c r="BN20" s="5" t="s">
        <v>160</v>
      </c>
      <c r="BO20" s="5"/>
      <c r="BP20" s="5"/>
      <c r="BQ20" s="5" t="s">
        <v>174</v>
      </c>
      <c r="BR20" s="5" t="s">
        <v>147</v>
      </c>
      <c r="BS20" s="5" t="s">
        <v>160</v>
      </c>
      <c r="BT20" s="5" t="s">
        <v>149</v>
      </c>
      <c r="BU20" s="5" t="s">
        <v>160</v>
      </c>
      <c r="BV20" s="5"/>
      <c r="BW20" s="5"/>
      <c r="BX20" s="5" t="s">
        <v>186</v>
      </c>
      <c r="BY20" s="5" t="s">
        <v>167</v>
      </c>
      <c r="BZ20" s="5" t="s">
        <v>168</v>
      </c>
      <c r="CA20" s="5" t="s">
        <v>170</v>
      </c>
      <c r="CB20" s="5" t="s">
        <v>160</v>
      </c>
      <c r="CC20" s="5" t="s">
        <v>170</v>
      </c>
      <c r="CD20" s="1" t="s">
        <v>160</v>
      </c>
    </row>
    <row r="21" spans="1:82" ht="43.5" x14ac:dyDescent="0.35">
      <c r="A21" s="5">
        <v>85</v>
      </c>
      <c r="B21" s="352"/>
      <c r="C21" s="123">
        <v>46220.606400462966</v>
      </c>
      <c r="D21" s="9" t="s">
        <v>652</v>
      </c>
      <c r="E21" s="179"/>
      <c r="F21" s="10" t="s">
        <v>49</v>
      </c>
      <c r="G21" s="9" t="s">
        <v>25</v>
      </c>
      <c r="H21" s="9" t="s">
        <v>16</v>
      </c>
      <c r="I21" s="12" t="s">
        <v>69</v>
      </c>
      <c r="J21" s="5" t="s">
        <v>157</v>
      </c>
      <c r="K21" s="5" t="s">
        <v>158</v>
      </c>
      <c r="L21" s="5" t="s">
        <v>173</v>
      </c>
      <c r="M21" s="5" t="s">
        <v>160</v>
      </c>
      <c r="N21" s="5"/>
      <c r="O21" s="5"/>
      <c r="P21" s="5"/>
      <c r="Q21" s="5"/>
      <c r="R21" s="5" t="s">
        <v>106</v>
      </c>
      <c r="S21" s="5" t="s">
        <v>160</v>
      </c>
      <c r="T21" s="5"/>
      <c r="U21" s="5" t="s">
        <v>109</v>
      </c>
      <c r="V21" s="5" t="s">
        <v>110</v>
      </c>
      <c r="W21" s="5" t="s">
        <v>160</v>
      </c>
      <c r="X21" s="5"/>
      <c r="Y21" s="5"/>
      <c r="Z21" s="5"/>
      <c r="AA21" s="5"/>
      <c r="AB21" s="5" t="s">
        <v>113</v>
      </c>
      <c r="AC21" s="5" t="s">
        <v>205</v>
      </c>
      <c r="AD21" s="5" t="s">
        <v>162</v>
      </c>
      <c r="AE21" s="5" t="s">
        <v>118</v>
      </c>
      <c r="AF21" s="5" t="s">
        <v>160</v>
      </c>
      <c r="AG21" s="5"/>
      <c r="AH21" s="5"/>
      <c r="AI21" s="5" t="s">
        <v>122</v>
      </c>
      <c r="AJ21" s="5" t="s">
        <v>160</v>
      </c>
      <c r="AK21" s="5" t="s">
        <v>124</v>
      </c>
      <c r="AL21" s="5" t="s">
        <v>160</v>
      </c>
      <c r="AM21" s="5"/>
      <c r="AN21" s="5"/>
      <c r="AO21" s="5"/>
      <c r="AP21" s="5" t="s">
        <v>127</v>
      </c>
      <c r="AQ21" s="5" t="s">
        <v>128</v>
      </c>
      <c r="AR21" s="5" t="s">
        <v>129</v>
      </c>
      <c r="AS21" s="5" t="s">
        <v>130</v>
      </c>
      <c r="AT21" s="5" t="s">
        <v>131</v>
      </c>
      <c r="AU21" s="5" t="s">
        <v>160</v>
      </c>
      <c r="AV21" s="5"/>
      <c r="AW21" s="5"/>
      <c r="AX21" s="5"/>
      <c r="AY21" s="5" t="s">
        <v>134</v>
      </c>
      <c r="AZ21" s="5" t="s">
        <v>135</v>
      </c>
      <c r="BA21" s="5" t="s">
        <v>160</v>
      </c>
      <c r="BB21" s="5" t="s">
        <v>136</v>
      </c>
      <c r="BC21" s="5" t="s">
        <v>160</v>
      </c>
      <c r="BD21" s="5" t="s">
        <v>138</v>
      </c>
      <c r="BE21" s="5" t="s">
        <v>139</v>
      </c>
      <c r="BF21" s="5" t="s">
        <v>140</v>
      </c>
      <c r="BG21" s="5" t="s">
        <v>141</v>
      </c>
      <c r="BH21" s="5" t="s">
        <v>160</v>
      </c>
      <c r="BI21" s="5"/>
      <c r="BJ21" s="5"/>
      <c r="BK21" s="5" t="s">
        <v>142</v>
      </c>
      <c r="BL21" s="5" t="s">
        <v>160</v>
      </c>
      <c r="BM21" s="5" t="s">
        <v>144</v>
      </c>
      <c r="BN21" s="5" t="s">
        <v>160</v>
      </c>
      <c r="BO21" s="5" t="s">
        <v>113</v>
      </c>
      <c r="BP21" s="5" t="s">
        <v>206</v>
      </c>
      <c r="BQ21" s="5" t="s">
        <v>178</v>
      </c>
      <c r="BR21" s="5" t="s">
        <v>147</v>
      </c>
      <c r="BS21" s="5" t="s">
        <v>160</v>
      </c>
      <c r="BT21" s="5" t="s">
        <v>149</v>
      </c>
      <c r="BU21" s="5" t="s">
        <v>150</v>
      </c>
      <c r="BV21" s="5" t="s">
        <v>160</v>
      </c>
      <c r="BW21" s="5"/>
      <c r="BX21" s="5" t="s">
        <v>166</v>
      </c>
      <c r="BY21" s="5" t="s">
        <v>177</v>
      </c>
      <c r="BZ21" s="5" t="s">
        <v>168</v>
      </c>
      <c r="CA21" s="5" t="s">
        <v>170</v>
      </c>
      <c r="CB21" s="5" t="s">
        <v>160</v>
      </c>
      <c r="CC21" s="5" t="s">
        <v>170</v>
      </c>
      <c r="CD21" t="s">
        <v>160</v>
      </c>
    </row>
    <row r="22" spans="1:82" s="1" customFormat="1" ht="27" customHeight="1" x14ac:dyDescent="0.35">
      <c r="A22" s="5">
        <v>84</v>
      </c>
      <c r="B22" s="352"/>
      <c r="C22" s="123">
        <v>46218.689895833333</v>
      </c>
      <c r="D22" s="9" t="s">
        <v>653</v>
      </c>
      <c r="E22" s="178"/>
      <c r="F22" s="10" t="s">
        <v>39</v>
      </c>
      <c r="G22" s="9" t="s">
        <v>16</v>
      </c>
      <c r="H22" s="9" t="s">
        <v>26</v>
      </c>
      <c r="I22" s="12" t="s">
        <v>27</v>
      </c>
      <c r="J22" s="5" t="s">
        <v>180</v>
      </c>
      <c r="K22" s="5" t="s">
        <v>172</v>
      </c>
      <c r="L22" s="5" t="s">
        <v>173</v>
      </c>
      <c r="M22" s="5" t="s">
        <v>160</v>
      </c>
      <c r="N22" s="5"/>
      <c r="O22" s="5"/>
      <c r="P22" s="5"/>
      <c r="Q22" s="5"/>
      <c r="R22" s="5"/>
      <c r="S22" s="5"/>
      <c r="T22" s="5" t="s">
        <v>108</v>
      </c>
      <c r="U22" s="5" t="s">
        <v>160</v>
      </c>
      <c r="V22" s="5"/>
      <c r="W22" s="5"/>
      <c r="X22" s="5" t="s">
        <v>112</v>
      </c>
      <c r="Y22" s="5" t="s">
        <v>160</v>
      </c>
      <c r="Z22" s="5"/>
      <c r="AA22" s="5"/>
      <c r="AB22" s="5" t="s">
        <v>161</v>
      </c>
      <c r="AC22" s="5" t="s">
        <v>160</v>
      </c>
      <c r="AD22" s="5" t="s">
        <v>162</v>
      </c>
      <c r="AE22" s="5" t="s">
        <v>118</v>
      </c>
      <c r="AF22" s="5" t="s">
        <v>160</v>
      </c>
      <c r="AG22" s="5"/>
      <c r="AH22" s="5"/>
      <c r="AI22" s="5"/>
      <c r="AJ22" s="5"/>
      <c r="AK22" s="5"/>
      <c r="AL22" s="5"/>
      <c r="AM22" s="5"/>
      <c r="AN22" s="5"/>
      <c r="AO22" s="5"/>
      <c r="AP22" s="5" t="s">
        <v>127</v>
      </c>
      <c r="AQ22" s="5" t="s">
        <v>128</v>
      </c>
      <c r="AR22" s="5" t="s">
        <v>129</v>
      </c>
      <c r="AS22" s="5" t="s">
        <v>130</v>
      </c>
      <c r="AT22" s="5" t="s">
        <v>131</v>
      </c>
      <c r="AU22" s="5" t="s">
        <v>160</v>
      </c>
      <c r="AV22" s="5"/>
      <c r="AW22" s="5"/>
      <c r="AX22" s="5"/>
      <c r="AY22" s="5"/>
      <c r="AZ22" s="5"/>
      <c r="BA22" s="5"/>
      <c r="BB22" s="5" t="s">
        <v>136</v>
      </c>
      <c r="BC22" s="5" t="s">
        <v>160</v>
      </c>
      <c r="BD22" s="5" t="s">
        <v>138</v>
      </c>
      <c r="BE22" s="5" t="s">
        <v>160</v>
      </c>
      <c r="BF22" s="5"/>
      <c r="BG22" s="5"/>
      <c r="BH22" s="5"/>
      <c r="BI22" s="5"/>
      <c r="BJ22" s="5"/>
      <c r="BK22" s="5" t="s">
        <v>142</v>
      </c>
      <c r="BL22" s="5" t="s">
        <v>143</v>
      </c>
      <c r="BM22" s="5" t="s">
        <v>160</v>
      </c>
      <c r="BN22" s="5"/>
      <c r="BO22" s="5" t="s">
        <v>113</v>
      </c>
      <c r="BP22" s="5" t="s">
        <v>207</v>
      </c>
      <c r="BQ22" s="5" t="s">
        <v>165</v>
      </c>
      <c r="BR22" s="5" t="s">
        <v>147</v>
      </c>
      <c r="BS22" s="5" t="s">
        <v>160</v>
      </c>
      <c r="BT22" s="5"/>
      <c r="BU22" s="5" t="s">
        <v>150</v>
      </c>
      <c r="BV22" s="5" t="s">
        <v>160</v>
      </c>
      <c r="BW22" s="5"/>
      <c r="BX22" s="5" t="s">
        <v>166</v>
      </c>
      <c r="BY22" s="5" t="s">
        <v>167</v>
      </c>
      <c r="BZ22" s="5" t="s">
        <v>165</v>
      </c>
      <c r="CA22" s="5" t="s">
        <v>169</v>
      </c>
      <c r="CB22" s="5"/>
      <c r="CC22" s="5" t="s">
        <v>169</v>
      </c>
    </row>
    <row r="23" spans="1:82" s="1" customFormat="1" ht="27" customHeight="1" x14ac:dyDescent="0.35">
      <c r="A23" s="5">
        <v>83</v>
      </c>
      <c r="B23" s="352"/>
      <c r="C23" s="123">
        <v>46217.466192129628</v>
      </c>
      <c r="D23" s="228" t="s">
        <v>654</v>
      </c>
      <c r="E23" s="178"/>
      <c r="F23" s="10" t="s">
        <v>39</v>
      </c>
      <c r="G23" s="9" t="s">
        <v>31</v>
      </c>
      <c r="H23" s="9" t="s">
        <v>26</v>
      </c>
      <c r="I23" s="12" t="s">
        <v>27</v>
      </c>
      <c r="J23" s="5" t="s">
        <v>171</v>
      </c>
      <c r="K23" s="5" t="s">
        <v>158</v>
      </c>
      <c r="L23" s="5" t="s">
        <v>159</v>
      </c>
      <c r="M23" s="5" t="s">
        <v>160</v>
      </c>
      <c r="N23" s="5"/>
      <c r="O23" s="5" t="s">
        <v>103</v>
      </c>
      <c r="P23" s="5"/>
      <c r="Q23" s="5"/>
      <c r="R23" s="5"/>
      <c r="S23" s="5"/>
      <c r="T23" s="5" t="s">
        <v>108</v>
      </c>
      <c r="U23" s="5" t="s">
        <v>109</v>
      </c>
      <c r="V23" s="5" t="s">
        <v>160</v>
      </c>
      <c r="W23" s="5"/>
      <c r="X23" s="5"/>
      <c r="Y23" s="5"/>
      <c r="Z23" s="5"/>
      <c r="AA23" s="5"/>
      <c r="AB23" s="5" t="s">
        <v>161</v>
      </c>
      <c r="AC23" s="5" t="s">
        <v>160</v>
      </c>
      <c r="AD23" s="5" t="s">
        <v>165</v>
      </c>
      <c r="AE23" s="5" t="s">
        <v>160</v>
      </c>
      <c r="AF23" s="5"/>
      <c r="AG23" s="5" t="s">
        <v>120</v>
      </c>
      <c r="AH23" s="5" t="s">
        <v>160</v>
      </c>
      <c r="AI23" s="5" t="s">
        <v>122</v>
      </c>
      <c r="AJ23" s="5" t="s">
        <v>123</v>
      </c>
      <c r="AK23" s="5" t="s">
        <v>160</v>
      </c>
      <c r="AL23" s="5"/>
      <c r="AM23" s="5"/>
      <c r="AN23" s="5"/>
      <c r="AO23" s="5"/>
      <c r="AP23" s="5" t="s">
        <v>127</v>
      </c>
      <c r="AQ23" s="5" t="s">
        <v>128</v>
      </c>
      <c r="AR23" s="5" t="s">
        <v>129</v>
      </c>
      <c r="AS23" s="5" t="s">
        <v>130</v>
      </c>
      <c r="AT23" s="5" t="s">
        <v>160</v>
      </c>
      <c r="AU23" s="5"/>
      <c r="AV23" s="5"/>
      <c r="AW23" s="5"/>
      <c r="AX23" s="5" t="s">
        <v>133</v>
      </c>
      <c r="AY23" s="5" t="s">
        <v>134</v>
      </c>
      <c r="AZ23" s="5" t="s">
        <v>135</v>
      </c>
      <c r="BA23" s="5" t="s">
        <v>160</v>
      </c>
      <c r="BB23" s="5" t="s">
        <v>136</v>
      </c>
      <c r="BC23" s="5" t="s">
        <v>160</v>
      </c>
      <c r="BD23" s="5" t="s">
        <v>138</v>
      </c>
      <c r="BE23" s="5" t="s">
        <v>139</v>
      </c>
      <c r="BF23" s="5" t="s">
        <v>140</v>
      </c>
      <c r="BG23" s="5" t="s">
        <v>141</v>
      </c>
      <c r="BH23" s="5" t="s">
        <v>160</v>
      </c>
      <c r="BI23" s="5"/>
      <c r="BJ23" s="5"/>
      <c r="BK23" s="5" t="s">
        <v>142</v>
      </c>
      <c r="BL23" s="5" t="s">
        <v>143</v>
      </c>
      <c r="BM23" s="5" t="s">
        <v>160</v>
      </c>
      <c r="BN23" s="5"/>
      <c r="BO23" s="5"/>
      <c r="BP23" s="5"/>
      <c r="BQ23" s="5" t="s">
        <v>178</v>
      </c>
      <c r="BR23" s="5" t="s">
        <v>147</v>
      </c>
      <c r="BS23" s="5" t="s">
        <v>160</v>
      </c>
      <c r="BT23" s="5" t="s">
        <v>149</v>
      </c>
      <c r="BU23" s="5" t="s">
        <v>150</v>
      </c>
      <c r="BV23" s="5" t="s">
        <v>160</v>
      </c>
      <c r="BW23" s="5"/>
      <c r="BX23" s="5" t="s">
        <v>166</v>
      </c>
      <c r="BY23" s="5" t="s">
        <v>167</v>
      </c>
      <c r="BZ23" s="5" t="s">
        <v>168</v>
      </c>
      <c r="CA23" s="5" t="s">
        <v>169</v>
      </c>
      <c r="CB23" s="5"/>
      <c r="CC23" s="5" t="s">
        <v>169</v>
      </c>
    </row>
    <row r="24" spans="1:82" s="1" customFormat="1" ht="27" customHeight="1" x14ac:dyDescent="0.4">
      <c r="A24" s="5">
        <v>82</v>
      </c>
      <c r="B24" s="352"/>
      <c r="C24" s="123">
        <v>46211.700381944444</v>
      </c>
      <c r="D24" s="301" t="s">
        <v>655</v>
      </c>
      <c r="E24" s="178"/>
      <c r="F24" s="10" t="s">
        <v>39</v>
      </c>
      <c r="G24" s="9" t="s">
        <v>31</v>
      </c>
      <c r="H24" s="9" t="s">
        <v>16</v>
      </c>
      <c r="I24" s="12" t="s">
        <v>69</v>
      </c>
      <c r="J24" s="5" t="s">
        <v>180</v>
      </c>
      <c r="K24" s="5" t="s">
        <v>158</v>
      </c>
      <c r="L24" s="5" t="s">
        <v>181</v>
      </c>
      <c r="M24" s="5" t="s">
        <v>160</v>
      </c>
      <c r="N24" s="5"/>
      <c r="O24" s="5"/>
      <c r="P24" s="5"/>
      <c r="Q24" s="5"/>
      <c r="R24" s="5"/>
      <c r="S24" s="5"/>
      <c r="T24" s="5" t="s">
        <v>108</v>
      </c>
      <c r="U24" s="5" t="s">
        <v>160</v>
      </c>
      <c r="V24" s="5" t="s">
        <v>110</v>
      </c>
      <c r="W24" s="5" t="s">
        <v>160</v>
      </c>
      <c r="X24" s="5" t="s">
        <v>112</v>
      </c>
      <c r="Y24" s="5" t="s">
        <v>160</v>
      </c>
      <c r="Z24" s="5"/>
      <c r="AA24" s="5"/>
      <c r="AB24" s="5" t="s">
        <v>161</v>
      </c>
      <c r="AC24" s="5" t="s">
        <v>160</v>
      </c>
      <c r="AD24" s="5" t="s">
        <v>165</v>
      </c>
      <c r="AE24" s="5" t="s">
        <v>160</v>
      </c>
      <c r="AF24" s="5"/>
      <c r="AG24" s="5"/>
      <c r="AH24" s="5" t="s">
        <v>121</v>
      </c>
      <c r="AI24" s="5" t="s">
        <v>122</v>
      </c>
      <c r="AJ24" s="5" t="s">
        <v>160</v>
      </c>
      <c r="AK24" s="5" t="s">
        <v>124</v>
      </c>
      <c r="AL24" s="5" t="s">
        <v>160</v>
      </c>
      <c r="AM24" s="5"/>
      <c r="AN24" s="5"/>
      <c r="AO24" s="5"/>
      <c r="AP24" s="5" t="s">
        <v>127</v>
      </c>
      <c r="AQ24" s="5" t="s">
        <v>128</v>
      </c>
      <c r="AR24" s="5" t="s">
        <v>129</v>
      </c>
      <c r="AS24" s="5" t="s">
        <v>130</v>
      </c>
      <c r="AT24" s="5" t="s">
        <v>160</v>
      </c>
      <c r="AU24" s="5"/>
      <c r="AV24" s="5"/>
      <c r="AW24" s="5"/>
      <c r="AX24" s="5"/>
      <c r="AY24" s="5"/>
      <c r="AZ24" s="5"/>
      <c r="BA24" s="5"/>
      <c r="BB24" s="5"/>
      <c r="BC24" s="5"/>
      <c r="BD24" s="5" t="s">
        <v>138</v>
      </c>
      <c r="BE24" s="5" t="s">
        <v>160</v>
      </c>
      <c r="BF24" s="5"/>
      <c r="BG24" s="5"/>
      <c r="BH24" s="5"/>
      <c r="BI24" s="5"/>
      <c r="BJ24" s="5"/>
      <c r="BK24" s="5" t="s">
        <v>142</v>
      </c>
      <c r="BL24" s="5" t="s">
        <v>143</v>
      </c>
      <c r="BM24" s="5" t="s">
        <v>160</v>
      </c>
      <c r="BN24" s="5"/>
      <c r="BO24" s="5"/>
      <c r="BP24" s="5"/>
      <c r="BQ24" s="5" t="s">
        <v>174</v>
      </c>
      <c r="BR24" s="5"/>
      <c r="BS24" s="5" t="s">
        <v>148</v>
      </c>
      <c r="BT24" s="5" t="s">
        <v>160</v>
      </c>
      <c r="BU24" s="5"/>
      <c r="BV24" s="5"/>
      <c r="BW24" s="5"/>
      <c r="BX24" s="5" t="s">
        <v>176</v>
      </c>
      <c r="BY24" s="5" t="s">
        <v>167</v>
      </c>
      <c r="BZ24" s="5" t="s">
        <v>165</v>
      </c>
      <c r="CA24" s="5" t="s">
        <v>170</v>
      </c>
      <c r="CB24" s="5" t="s">
        <v>160</v>
      </c>
      <c r="CC24" s="5" t="s">
        <v>170</v>
      </c>
      <c r="CD24" s="1" t="s">
        <v>160</v>
      </c>
    </row>
    <row r="25" spans="1:82" s="1" customFormat="1" ht="27" customHeight="1" x14ac:dyDescent="0.35">
      <c r="A25" s="5">
        <v>81</v>
      </c>
      <c r="B25" s="352"/>
      <c r="C25" s="123">
        <v>46209.429097222222</v>
      </c>
      <c r="D25" s="9" t="s">
        <v>656</v>
      </c>
      <c r="E25" s="178"/>
      <c r="F25" s="10" t="s">
        <v>39</v>
      </c>
      <c r="G25" s="9" t="s">
        <v>13</v>
      </c>
      <c r="H25" s="9" t="s">
        <v>16</v>
      </c>
      <c r="I25" s="12" t="s">
        <v>27</v>
      </c>
      <c r="J25" s="5" t="s">
        <v>171</v>
      </c>
      <c r="K25" s="5" t="s">
        <v>191</v>
      </c>
      <c r="L25" s="5" t="s">
        <v>173</v>
      </c>
      <c r="M25" s="5" t="s">
        <v>160</v>
      </c>
      <c r="N25" s="5"/>
      <c r="O25" s="5"/>
      <c r="P25" s="5"/>
      <c r="Q25" s="5"/>
      <c r="R25" s="5"/>
      <c r="S25" s="5"/>
      <c r="T25" s="5" t="s">
        <v>108</v>
      </c>
      <c r="U25" s="5" t="s">
        <v>109</v>
      </c>
      <c r="V25" s="5" t="s">
        <v>160</v>
      </c>
      <c r="W25" s="5"/>
      <c r="X25" s="5" t="s">
        <v>112</v>
      </c>
      <c r="Y25" s="5" t="s">
        <v>160</v>
      </c>
      <c r="Z25" s="5"/>
      <c r="AA25" s="5"/>
      <c r="AB25" s="5" t="s">
        <v>161</v>
      </c>
      <c r="AC25" s="5" t="s">
        <v>160</v>
      </c>
      <c r="AD25" s="5" t="s">
        <v>165</v>
      </c>
      <c r="AE25" s="5" t="s">
        <v>160</v>
      </c>
      <c r="AF25" s="5"/>
      <c r="AG25" s="5"/>
      <c r="AH25" s="5"/>
      <c r="AI25" s="5" t="s">
        <v>122</v>
      </c>
      <c r="AJ25" s="5" t="s">
        <v>160</v>
      </c>
      <c r="AK25" s="5" t="s">
        <v>124</v>
      </c>
      <c r="AL25" s="5" t="s">
        <v>160</v>
      </c>
      <c r="AM25" s="5"/>
      <c r="AN25" s="5"/>
      <c r="AO25" s="5"/>
      <c r="AP25" s="5" t="s">
        <v>127</v>
      </c>
      <c r="AQ25" s="5" t="s">
        <v>128</v>
      </c>
      <c r="AR25" s="5" t="s">
        <v>129</v>
      </c>
      <c r="AS25" s="5" t="s">
        <v>130</v>
      </c>
      <c r="AT25" s="5" t="s">
        <v>131</v>
      </c>
      <c r="AU25" s="5" t="s">
        <v>160</v>
      </c>
      <c r="AV25" s="5"/>
      <c r="AW25" s="5"/>
      <c r="AX25" s="5"/>
      <c r="AY25" s="5"/>
      <c r="AZ25" s="5"/>
      <c r="BA25" s="5" t="s">
        <v>121</v>
      </c>
      <c r="BB25" s="5" t="s">
        <v>136</v>
      </c>
      <c r="BC25" s="5" t="s">
        <v>160</v>
      </c>
      <c r="BD25" s="5" t="s">
        <v>138</v>
      </c>
      <c r="BE25" s="5" t="s">
        <v>160</v>
      </c>
      <c r="BF25" s="5" t="s">
        <v>140</v>
      </c>
      <c r="BG25" s="5" t="s">
        <v>141</v>
      </c>
      <c r="BH25" s="5" t="s">
        <v>160</v>
      </c>
      <c r="BI25" s="5"/>
      <c r="BJ25" s="5"/>
      <c r="BK25" s="5" t="s">
        <v>142</v>
      </c>
      <c r="BL25" s="5" t="s">
        <v>143</v>
      </c>
      <c r="BM25" s="5" t="s">
        <v>144</v>
      </c>
      <c r="BN25" s="5" t="s">
        <v>160</v>
      </c>
      <c r="BO25" s="5"/>
      <c r="BP25" s="5"/>
      <c r="BQ25" s="5" t="s">
        <v>165</v>
      </c>
      <c r="BR25" s="5" t="s">
        <v>147</v>
      </c>
      <c r="BS25" s="5" t="s">
        <v>160</v>
      </c>
      <c r="BT25" s="5" t="s">
        <v>149</v>
      </c>
      <c r="BU25" s="5" t="s">
        <v>150</v>
      </c>
      <c r="BV25" s="5" t="s">
        <v>160</v>
      </c>
      <c r="BW25" s="5"/>
      <c r="BX25" s="5" t="s">
        <v>176</v>
      </c>
      <c r="BY25" s="5" t="s">
        <v>177</v>
      </c>
      <c r="BZ25" s="5" t="s">
        <v>178</v>
      </c>
      <c r="CA25" s="5" t="s">
        <v>170</v>
      </c>
      <c r="CB25" s="5" t="s">
        <v>160</v>
      </c>
      <c r="CC25" s="5" t="s">
        <v>169</v>
      </c>
    </row>
    <row r="26" spans="1:82" s="1" customFormat="1" ht="27" customHeight="1" x14ac:dyDescent="0.35">
      <c r="A26" s="5">
        <v>80</v>
      </c>
      <c r="B26" s="352"/>
      <c r="C26" s="123">
        <v>46205.763298611113</v>
      </c>
      <c r="D26" s="9" t="s">
        <v>657</v>
      </c>
      <c r="E26" s="178"/>
      <c r="F26" s="10" t="s">
        <v>39</v>
      </c>
      <c r="G26" s="9" t="s">
        <v>25</v>
      </c>
      <c r="H26" s="9" t="s">
        <v>50</v>
      </c>
      <c r="I26" s="12" t="s">
        <v>69</v>
      </c>
      <c r="J26" s="5" t="s">
        <v>157</v>
      </c>
      <c r="K26" s="5" t="s">
        <v>191</v>
      </c>
      <c r="L26" s="5" t="s">
        <v>159</v>
      </c>
      <c r="M26" s="5" t="s">
        <v>101</v>
      </c>
      <c r="N26" s="5" t="s">
        <v>160</v>
      </c>
      <c r="O26" s="5"/>
      <c r="P26" s="5"/>
      <c r="Q26" s="5"/>
      <c r="R26" s="5"/>
      <c r="S26" s="5"/>
      <c r="T26" s="5" t="s">
        <v>108</v>
      </c>
      <c r="U26" s="5" t="s">
        <v>160</v>
      </c>
      <c r="V26" s="5"/>
      <c r="W26" s="5"/>
      <c r="X26" s="5" t="s">
        <v>112</v>
      </c>
      <c r="Y26" s="5" t="s">
        <v>160</v>
      </c>
      <c r="Z26" s="5"/>
      <c r="AA26" s="5"/>
      <c r="AB26" s="5" t="s">
        <v>161</v>
      </c>
      <c r="AC26" s="5" t="s">
        <v>160</v>
      </c>
      <c r="AD26" s="5" t="s">
        <v>162</v>
      </c>
      <c r="AE26" s="5" t="s">
        <v>118</v>
      </c>
      <c r="AF26" s="5" t="s">
        <v>160</v>
      </c>
      <c r="AG26" s="5"/>
      <c r="AH26" s="5"/>
      <c r="AI26" s="5" t="s">
        <v>122</v>
      </c>
      <c r="AJ26" s="5" t="s">
        <v>123</v>
      </c>
      <c r="AK26" s="5" t="s">
        <v>160</v>
      </c>
      <c r="AL26" s="5"/>
      <c r="AM26" s="5"/>
      <c r="AN26" s="5"/>
      <c r="AO26" s="5"/>
      <c r="AP26" s="5" t="s">
        <v>127</v>
      </c>
      <c r="AQ26" s="5" t="s">
        <v>128</v>
      </c>
      <c r="AR26" s="5" t="s">
        <v>129</v>
      </c>
      <c r="AS26" s="5" t="s">
        <v>130</v>
      </c>
      <c r="AT26" s="5" t="s">
        <v>131</v>
      </c>
      <c r="AU26" s="5" t="s">
        <v>160</v>
      </c>
      <c r="AV26" s="5"/>
      <c r="AW26" s="5"/>
      <c r="AX26" s="5"/>
      <c r="AY26" s="5" t="s">
        <v>134</v>
      </c>
      <c r="AZ26" s="5"/>
      <c r="BA26" s="5"/>
      <c r="BB26" s="5" t="s">
        <v>136</v>
      </c>
      <c r="BC26" s="5" t="s">
        <v>160</v>
      </c>
      <c r="BD26" s="5" t="s">
        <v>138</v>
      </c>
      <c r="BE26" s="5" t="s">
        <v>160</v>
      </c>
      <c r="BF26" s="5" t="s">
        <v>140</v>
      </c>
      <c r="BG26" s="5" t="s">
        <v>160</v>
      </c>
      <c r="BH26" s="5"/>
      <c r="BI26" s="5"/>
      <c r="BJ26" s="5"/>
      <c r="BK26" s="5" t="s">
        <v>142</v>
      </c>
      <c r="BL26" s="5" t="s">
        <v>143</v>
      </c>
      <c r="BM26" s="5" t="s">
        <v>144</v>
      </c>
      <c r="BN26" s="5" t="s">
        <v>160</v>
      </c>
      <c r="BO26" s="5"/>
      <c r="BP26" s="5"/>
      <c r="BQ26" s="5" t="s">
        <v>178</v>
      </c>
      <c r="BR26" s="5" t="s">
        <v>147</v>
      </c>
      <c r="BS26" s="5" t="s">
        <v>160</v>
      </c>
      <c r="BT26" s="5"/>
      <c r="BU26" s="5" t="s">
        <v>150</v>
      </c>
      <c r="BV26" s="5" t="s">
        <v>160</v>
      </c>
      <c r="BW26" s="5"/>
      <c r="BX26" s="5" t="s">
        <v>166</v>
      </c>
      <c r="BY26" s="5" t="s">
        <v>177</v>
      </c>
      <c r="BZ26" s="5" t="s">
        <v>178</v>
      </c>
      <c r="CA26" s="5" t="s">
        <v>170</v>
      </c>
      <c r="CB26" s="5" t="s">
        <v>208</v>
      </c>
      <c r="CC26" s="5" t="s">
        <v>169</v>
      </c>
    </row>
    <row r="27" spans="1:82" s="1" customFormat="1" ht="27" customHeight="1" x14ac:dyDescent="0.35">
      <c r="A27" s="5">
        <v>79</v>
      </c>
      <c r="B27" s="352"/>
      <c r="C27" s="123">
        <v>46205.709907407407</v>
      </c>
      <c r="D27" s="9" t="s">
        <v>658</v>
      </c>
      <c r="E27" s="178"/>
      <c r="F27" s="10" t="s">
        <v>42</v>
      </c>
      <c r="G27" s="9" t="s">
        <v>16</v>
      </c>
      <c r="H27" s="9" t="s">
        <v>68</v>
      </c>
      <c r="I27" s="12" t="s">
        <v>69</v>
      </c>
      <c r="J27" s="5" t="s">
        <v>184</v>
      </c>
      <c r="K27" s="5" t="s">
        <v>158</v>
      </c>
      <c r="L27" s="5" t="s">
        <v>173</v>
      </c>
      <c r="M27" s="5" t="s">
        <v>160</v>
      </c>
      <c r="N27" s="5"/>
      <c r="O27" s="5"/>
      <c r="P27" s="5"/>
      <c r="Q27" s="5"/>
      <c r="R27" s="5" t="s">
        <v>106</v>
      </c>
      <c r="S27" s="5" t="s">
        <v>160</v>
      </c>
      <c r="T27" s="5" t="s">
        <v>108</v>
      </c>
      <c r="U27" s="5" t="s">
        <v>109</v>
      </c>
      <c r="V27" s="5" t="s">
        <v>160</v>
      </c>
      <c r="W27" s="5"/>
      <c r="X27" s="5"/>
      <c r="Y27" s="5"/>
      <c r="Z27" s="5"/>
      <c r="AA27" s="5"/>
      <c r="AB27" s="5" t="s">
        <v>161</v>
      </c>
      <c r="AC27" s="5" t="s">
        <v>160</v>
      </c>
      <c r="AD27" s="5" t="s">
        <v>162</v>
      </c>
      <c r="AE27" s="5"/>
      <c r="AF27" s="5" t="s">
        <v>119</v>
      </c>
      <c r="AG27" s="5" t="s">
        <v>120</v>
      </c>
      <c r="AH27" s="5" t="s">
        <v>160</v>
      </c>
      <c r="AI27" s="5" t="s">
        <v>122</v>
      </c>
      <c r="AJ27" s="5" t="s">
        <v>160</v>
      </c>
      <c r="AK27" s="5"/>
      <c r="AL27" s="5"/>
      <c r="AM27" s="5"/>
      <c r="AN27" s="5"/>
      <c r="AO27" s="5"/>
      <c r="AP27" s="5" t="s">
        <v>127</v>
      </c>
      <c r="AQ27" s="5" t="s">
        <v>160</v>
      </c>
      <c r="AR27" s="5"/>
      <c r="AS27" s="5" t="s">
        <v>130</v>
      </c>
      <c r="AT27" s="5" t="s">
        <v>160</v>
      </c>
      <c r="AU27" s="5"/>
      <c r="AV27" s="5"/>
      <c r="AW27" s="5"/>
      <c r="AX27" s="5"/>
      <c r="AY27" s="5"/>
      <c r="AZ27" s="5"/>
      <c r="BA27" s="5"/>
      <c r="BB27" s="5" t="s">
        <v>136</v>
      </c>
      <c r="BC27" s="5" t="s">
        <v>160</v>
      </c>
      <c r="BD27" s="5" t="s">
        <v>138</v>
      </c>
      <c r="BE27" s="5" t="s">
        <v>139</v>
      </c>
      <c r="BF27" s="5" t="s">
        <v>160</v>
      </c>
      <c r="BG27" s="5"/>
      <c r="BH27" s="5"/>
      <c r="BI27" s="5"/>
      <c r="BJ27" s="5"/>
      <c r="BK27" s="5" t="s">
        <v>142</v>
      </c>
      <c r="BL27" s="5" t="s">
        <v>143</v>
      </c>
      <c r="BM27" s="5" t="s">
        <v>144</v>
      </c>
      <c r="BN27" s="5" t="s">
        <v>160</v>
      </c>
      <c r="BO27" s="5"/>
      <c r="BP27" s="5"/>
      <c r="BQ27" s="5" t="s">
        <v>165</v>
      </c>
      <c r="BR27" s="5" t="s">
        <v>147</v>
      </c>
      <c r="BS27" s="5" t="s">
        <v>160</v>
      </c>
      <c r="BT27" s="5" t="s">
        <v>149</v>
      </c>
      <c r="BU27" s="5" t="s">
        <v>160</v>
      </c>
      <c r="BV27" s="5"/>
      <c r="BW27" s="5"/>
      <c r="BX27" s="5" t="s">
        <v>176</v>
      </c>
      <c r="BY27" s="5" t="s">
        <v>167</v>
      </c>
      <c r="BZ27" s="5" t="s">
        <v>178</v>
      </c>
      <c r="CA27" s="5" t="s">
        <v>170</v>
      </c>
      <c r="CB27" s="5" t="s">
        <v>160</v>
      </c>
      <c r="CC27" s="5" t="s">
        <v>170</v>
      </c>
      <c r="CD27" s="1" t="s">
        <v>160</v>
      </c>
    </row>
    <row r="28" spans="1:82" s="1" customFormat="1" ht="27" customHeight="1" x14ac:dyDescent="0.35">
      <c r="A28" s="5">
        <v>78</v>
      </c>
      <c r="B28" s="352"/>
      <c r="C28" s="123">
        <v>46205.705879629626</v>
      </c>
      <c r="D28" s="9" t="s">
        <v>659</v>
      </c>
      <c r="E28" s="178"/>
      <c r="F28" s="10" t="s">
        <v>12</v>
      </c>
      <c r="G28" s="9" t="s">
        <v>31</v>
      </c>
      <c r="H28" s="9" t="s">
        <v>29</v>
      </c>
      <c r="I28" s="12" t="s">
        <v>27</v>
      </c>
      <c r="J28" s="5" t="s">
        <v>184</v>
      </c>
      <c r="K28" s="5" t="s">
        <v>172</v>
      </c>
      <c r="L28" s="5" t="s">
        <v>173</v>
      </c>
      <c r="M28" s="5" t="s">
        <v>160</v>
      </c>
      <c r="N28" s="5"/>
      <c r="O28" s="5"/>
      <c r="P28" s="5"/>
      <c r="Q28" s="5"/>
      <c r="R28" s="5" t="s">
        <v>106</v>
      </c>
      <c r="S28" s="5" t="s">
        <v>160</v>
      </c>
      <c r="T28" s="5" t="s">
        <v>108</v>
      </c>
      <c r="U28" s="5" t="s">
        <v>109</v>
      </c>
      <c r="V28" s="5" t="s">
        <v>160</v>
      </c>
      <c r="W28" s="5"/>
      <c r="X28" s="5"/>
      <c r="Y28" s="5"/>
      <c r="Z28" s="5"/>
      <c r="AA28" s="5"/>
      <c r="AB28" s="5" t="s">
        <v>182</v>
      </c>
      <c r="AC28" s="5" t="s">
        <v>160</v>
      </c>
      <c r="AD28" s="5" t="s">
        <v>162</v>
      </c>
      <c r="AE28" s="5"/>
      <c r="AF28" s="5" t="s">
        <v>119</v>
      </c>
      <c r="AG28" s="5" t="s">
        <v>120</v>
      </c>
      <c r="AH28" s="5" t="s">
        <v>160</v>
      </c>
      <c r="AI28" s="5" t="s">
        <v>122</v>
      </c>
      <c r="AJ28" s="5" t="s">
        <v>160</v>
      </c>
      <c r="AK28" s="5"/>
      <c r="AL28" s="5"/>
      <c r="AM28" s="5"/>
      <c r="AN28" s="5"/>
      <c r="AO28" s="5"/>
      <c r="AP28" s="5" t="s">
        <v>127</v>
      </c>
      <c r="AQ28" s="5" t="s">
        <v>160</v>
      </c>
      <c r="AR28" s="5"/>
      <c r="AS28" s="5" t="s">
        <v>130</v>
      </c>
      <c r="AT28" s="5" t="s">
        <v>160</v>
      </c>
      <c r="AU28" s="5"/>
      <c r="AV28" s="5"/>
      <c r="AW28" s="5"/>
      <c r="AX28" s="5" t="s">
        <v>133</v>
      </c>
      <c r="AY28" s="5" t="s">
        <v>134</v>
      </c>
      <c r="AZ28" s="5" t="s">
        <v>135</v>
      </c>
      <c r="BA28" s="5" t="s">
        <v>160</v>
      </c>
      <c r="BB28" s="5" t="s">
        <v>136</v>
      </c>
      <c r="BC28" s="5" t="s">
        <v>160</v>
      </c>
      <c r="BD28" s="5" t="s">
        <v>138</v>
      </c>
      <c r="BE28" s="5" t="s">
        <v>139</v>
      </c>
      <c r="BF28" s="5" t="s">
        <v>140</v>
      </c>
      <c r="BG28" s="5" t="s">
        <v>141</v>
      </c>
      <c r="BH28" s="5" t="s">
        <v>160</v>
      </c>
      <c r="BI28" s="5"/>
      <c r="BJ28" s="5"/>
      <c r="BK28" s="5" t="s">
        <v>142</v>
      </c>
      <c r="BL28" s="5" t="s">
        <v>160</v>
      </c>
      <c r="BM28" s="5"/>
      <c r="BN28" s="5"/>
      <c r="BO28" s="5"/>
      <c r="BP28" s="5"/>
      <c r="BQ28" s="5" t="s">
        <v>165</v>
      </c>
      <c r="BR28" s="5" t="s">
        <v>147</v>
      </c>
      <c r="BS28" s="5" t="s">
        <v>160</v>
      </c>
      <c r="BT28" s="5"/>
      <c r="BU28" s="5" t="s">
        <v>150</v>
      </c>
      <c r="BV28" s="5" t="s">
        <v>160</v>
      </c>
      <c r="BW28" s="5"/>
      <c r="BX28" s="5" t="s">
        <v>166</v>
      </c>
      <c r="BY28" s="5" t="s">
        <v>167</v>
      </c>
      <c r="BZ28" s="5" t="s">
        <v>168</v>
      </c>
      <c r="CA28" s="5" t="s">
        <v>170</v>
      </c>
      <c r="CB28" s="5" t="s">
        <v>160</v>
      </c>
      <c r="CC28" s="5" t="s">
        <v>170</v>
      </c>
      <c r="CD28" s="1" t="s">
        <v>160</v>
      </c>
    </row>
    <row r="29" spans="1:82" s="1" customFormat="1" ht="27" customHeight="1" x14ac:dyDescent="0.35">
      <c r="A29" s="5">
        <v>77</v>
      </c>
      <c r="B29" s="352"/>
      <c r="C29" s="123">
        <v>46205.515439814815</v>
      </c>
      <c r="D29" s="9" t="s">
        <v>660</v>
      </c>
      <c r="E29" s="178"/>
      <c r="F29" s="10" t="s">
        <v>49</v>
      </c>
      <c r="G29" s="9" t="s">
        <v>13</v>
      </c>
      <c r="H29" s="9" t="s">
        <v>64</v>
      </c>
      <c r="I29" s="12" t="s">
        <v>27</v>
      </c>
      <c r="J29" s="5" t="s">
        <v>157</v>
      </c>
      <c r="K29" s="5" t="s">
        <v>158</v>
      </c>
      <c r="L29" s="5" t="s">
        <v>203</v>
      </c>
      <c r="M29" s="5" t="s">
        <v>160</v>
      </c>
      <c r="N29" s="5"/>
      <c r="O29" s="5"/>
      <c r="P29" s="5"/>
      <c r="Q29" s="5"/>
      <c r="R29" s="5" t="s">
        <v>106</v>
      </c>
      <c r="S29" s="5" t="s">
        <v>160</v>
      </c>
      <c r="T29" s="5"/>
      <c r="U29" s="5" t="s">
        <v>109</v>
      </c>
      <c r="V29" s="5" t="s">
        <v>160</v>
      </c>
      <c r="W29" s="5"/>
      <c r="X29" s="5" t="s">
        <v>112</v>
      </c>
      <c r="Y29" s="5" t="s">
        <v>160</v>
      </c>
      <c r="Z29" s="5"/>
      <c r="AA29" s="5"/>
      <c r="AB29" s="5" t="s">
        <v>182</v>
      </c>
      <c r="AC29" s="5" t="s">
        <v>160</v>
      </c>
      <c r="AD29" s="5" t="s">
        <v>165</v>
      </c>
      <c r="AE29" s="5" t="s">
        <v>160</v>
      </c>
      <c r="AF29" s="5" t="s">
        <v>119</v>
      </c>
      <c r="AG29" s="5" t="s">
        <v>160</v>
      </c>
      <c r="AH29" s="5"/>
      <c r="AI29" s="5" t="s">
        <v>122</v>
      </c>
      <c r="AJ29" s="5" t="s">
        <v>160</v>
      </c>
      <c r="AK29" s="5"/>
      <c r="AL29" s="5"/>
      <c r="AM29" s="5"/>
      <c r="AN29" s="5"/>
      <c r="AO29" s="5"/>
      <c r="AP29" s="5"/>
      <c r="AQ29" s="5"/>
      <c r="AR29" s="5"/>
      <c r="AS29" s="5" t="s">
        <v>130</v>
      </c>
      <c r="AT29" s="5" t="s">
        <v>160</v>
      </c>
      <c r="AU29" s="5" t="s">
        <v>113</v>
      </c>
      <c r="AV29" s="5"/>
      <c r="AW29" s="5" t="s">
        <v>209</v>
      </c>
      <c r="AX29" s="5" t="s">
        <v>160</v>
      </c>
      <c r="AY29" s="5"/>
      <c r="AZ29" s="5" t="s">
        <v>135</v>
      </c>
      <c r="BA29" s="5" t="s">
        <v>160</v>
      </c>
      <c r="BB29" s="5" t="s">
        <v>136</v>
      </c>
      <c r="BC29" s="5" t="s">
        <v>160</v>
      </c>
      <c r="BD29" s="5" t="s">
        <v>138</v>
      </c>
      <c r="BE29" s="5" t="s">
        <v>139</v>
      </c>
      <c r="BF29" s="5" t="s">
        <v>160</v>
      </c>
      <c r="BG29" s="5" t="s">
        <v>141</v>
      </c>
      <c r="BH29" s="5" t="s">
        <v>160</v>
      </c>
      <c r="BI29" s="5"/>
      <c r="BJ29" s="5"/>
      <c r="BK29" s="5" t="s">
        <v>142</v>
      </c>
      <c r="BL29" s="5" t="s">
        <v>160</v>
      </c>
      <c r="BM29" s="5" t="s">
        <v>144</v>
      </c>
      <c r="BN29" s="5" t="s">
        <v>160</v>
      </c>
      <c r="BO29" s="5"/>
      <c r="BP29" s="5"/>
      <c r="BQ29" s="5" t="s">
        <v>165</v>
      </c>
      <c r="BR29" s="5" t="s">
        <v>160</v>
      </c>
      <c r="BS29" s="5"/>
      <c r="BT29" s="5"/>
      <c r="BU29" s="5" t="s">
        <v>150</v>
      </c>
      <c r="BV29" s="5" t="s">
        <v>160</v>
      </c>
      <c r="BW29" s="5"/>
      <c r="BX29" s="5" t="s">
        <v>166</v>
      </c>
      <c r="BY29" s="5" t="s">
        <v>177</v>
      </c>
      <c r="BZ29" s="5" t="s">
        <v>168</v>
      </c>
      <c r="CA29" s="5" t="s">
        <v>170</v>
      </c>
      <c r="CB29" s="5" t="s">
        <v>160</v>
      </c>
      <c r="CC29" s="5" t="s">
        <v>170</v>
      </c>
      <c r="CD29" s="1" t="s">
        <v>160</v>
      </c>
    </row>
    <row r="30" spans="1:82" s="1" customFormat="1" ht="27" customHeight="1" thickBot="1" x14ac:dyDescent="0.45">
      <c r="A30" s="252">
        <v>76</v>
      </c>
      <c r="B30" s="359"/>
      <c r="C30" s="247">
        <v>46204.414085648146</v>
      </c>
      <c r="D30" s="309" t="s">
        <v>661</v>
      </c>
      <c r="E30" s="310"/>
      <c r="F30" s="249" t="s">
        <v>49</v>
      </c>
      <c r="G30" s="248" t="s">
        <v>13</v>
      </c>
      <c r="H30" s="248" t="s">
        <v>63</v>
      </c>
      <c r="I30" s="251" t="s">
        <v>27</v>
      </c>
      <c r="J30" s="252" t="s">
        <v>180</v>
      </c>
      <c r="K30" s="252" t="s">
        <v>172</v>
      </c>
      <c r="L30" s="252" t="s">
        <v>159</v>
      </c>
      <c r="M30" s="252" t="s">
        <v>160</v>
      </c>
      <c r="N30" s="252"/>
      <c r="O30" s="252"/>
      <c r="P30" s="252"/>
      <c r="Q30" s="252"/>
      <c r="R30" s="252" t="s">
        <v>106</v>
      </c>
      <c r="S30" s="252" t="s">
        <v>160</v>
      </c>
      <c r="T30" s="252"/>
      <c r="U30" s="252"/>
      <c r="V30" s="252"/>
      <c r="W30" s="252"/>
      <c r="X30" s="252"/>
      <c r="Y30" s="252"/>
      <c r="Z30" s="252"/>
      <c r="AA30" s="252"/>
      <c r="AB30" s="252" t="s">
        <v>182</v>
      </c>
      <c r="AC30" s="252" t="s">
        <v>160</v>
      </c>
      <c r="AD30" s="252" t="s">
        <v>162</v>
      </c>
      <c r="AE30" s="252" t="s">
        <v>118</v>
      </c>
      <c r="AF30" s="252" t="s">
        <v>160</v>
      </c>
      <c r="AG30" s="252"/>
      <c r="AH30" s="252" t="s">
        <v>121</v>
      </c>
      <c r="AI30" s="252" t="s">
        <v>160</v>
      </c>
      <c r="AJ30" s="252"/>
      <c r="AK30" s="252" t="s">
        <v>124</v>
      </c>
      <c r="AL30" s="252" t="s">
        <v>160</v>
      </c>
      <c r="AM30" s="252"/>
      <c r="AN30" s="252"/>
      <c r="AO30" s="252"/>
      <c r="AP30" s="252" t="s">
        <v>127</v>
      </c>
      <c r="AQ30" s="252" t="s">
        <v>160</v>
      </c>
      <c r="AR30" s="252"/>
      <c r="AS30" s="252"/>
      <c r="AT30" s="252"/>
      <c r="AU30" s="252"/>
      <c r="AV30" s="252"/>
      <c r="AW30" s="252"/>
      <c r="AX30" s="252" t="s">
        <v>133</v>
      </c>
      <c r="AY30" s="252" t="s">
        <v>134</v>
      </c>
      <c r="AZ30" s="252" t="s">
        <v>135</v>
      </c>
      <c r="BA30" s="252" t="s">
        <v>121</v>
      </c>
      <c r="BB30" s="252" t="s">
        <v>160</v>
      </c>
      <c r="BC30" s="252"/>
      <c r="BD30" s="252" t="s">
        <v>138</v>
      </c>
      <c r="BE30" s="252" t="s">
        <v>160</v>
      </c>
      <c r="BF30" s="252" t="s">
        <v>140</v>
      </c>
      <c r="BG30" s="252" t="s">
        <v>141</v>
      </c>
      <c r="BH30" s="252" t="s">
        <v>160</v>
      </c>
      <c r="BI30" s="252"/>
      <c r="BJ30" s="252"/>
      <c r="BK30" s="252" t="s">
        <v>142</v>
      </c>
      <c r="BL30" s="252" t="s">
        <v>160</v>
      </c>
      <c r="BM30" s="252" t="s">
        <v>144</v>
      </c>
      <c r="BN30" s="252" t="s">
        <v>160</v>
      </c>
      <c r="BO30" s="252"/>
      <c r="BP30" s="252"/>
      <c r="BQ30" s="252" t="s">
        <v>178</v>
      </c>
      <c r="BR30" s="252" t="s">
        <v>147</v>
      </c>
      <c r="BS30" s="252" t="s">
        <v>160</v>
      </c>
      <c r="BT30" s="252" t="s">
        <v>149</v>
      </c>
      <c r="BU30" s="252" t="s">
        <v>160</v>
      </c>
      <c r="BV30" s="252"/>
      <c r="BW30" s="252"/>
      <c r="BX30" s="252" t="s">
        <v>166</v>
      </c>
      <c r="BY30" s="252" t="s">
        <v>167</v>
      </c>
      <c r="BZ30" s="252" t="s">
        <v>165</v>
      </c>
      <c r="CA30" s="252" t="s">
        <v>169</v>
      </c>
      <c r="CB30" s="252"/>
      <c r="CC30" s="252" t="s">
        <v>197</v>
      </c>
      <c r="CD30" s="1" t="s">
        <v>160</v>
      </c>
    </row>
    <row r="31" spans="1:82" s="1" customFormat="1" ht="27" customHeight="1" x14ac:dyDescent="0.4">
      <c r="A31" s="231">
        <v>75</v>
      </c>
      <c r="B31" s="354">
        <v>46174</v>
      </c>
      <c r="C31" s="230">
        <v>46182.64634259259</v>
      </c>
      <c r="D31" s="306" t="s">
        <v>662</v>
      </c>
      <c r="E31" s="241"/>
      <c r="F31" s="242" t="s">
        <v>42</v>
      </c>
      <c r="G31" s="241" t="s">
        <v>13</v>
      </c>
      <c r="H31" s="241" t="s">
        <v>44</v>
      </c>
      <c r="I31" s="243" t="s">
        <v>69</v>
      </c>
      <c r="J31" s="231" t="s">
        <v>180</v>
      </c>
      <c r="K31" s="231" t="s">
        <v>158</v>
      </c>
      <c r="L31" s="231" t="s">
        <v>173</v>
      </c>
      <c r="M31" s="231" t="s">
        <v>160</v>
      </c>
      <c r="N31" s="231"/>
      <c r="O31" s="231"/>
      <c r="P31" s="231"/>
      <c r="Q31" s="231"/>
      <c r="R31" s="231"/>
      <c r="S31" s="231"/>
      <c r="T31" s="231" t="s">
        <v>108</v>
      </c>
      <c r="U31" s="231" t="s">
        <v>109</v>
      </c>
      <c r="V31" s="231" t="s">
        <v>110</v>
      </c>
      <c r="W31" s="231" t="s">
        <v>160</v>
      </c>
      <c r="X31" s="231"/>
      <c r="Y31" s="231"/>
      <c r="Z31" s="231"/>
      <c r="AA31" s="231"/>
      <c r="AB31" s="231" t="s">
        <v>182</v>
      </c>
      <c r="AC31" s="231" t="s">
        <v>160</v>
      </c>
      <c r="AD31" s="231" t="s">
        <v>165</v>
      </c>
      <c r="AE31" s="231" t="s">
        <v>160</v>
      </c>
      <c r="AF31" s="231"/>
      <c r="AG31" s="231" t="s">
        <v>120</v>
      </c>
      <c r="AH31" s="231" t="s">
        <v>160</v>
      </c>
      <c r="AI31" s="231" t="s">
        <v>122</v>
      </c>
      <c r="AJ31" s="231" t="s">
        <v>160</v>
      </c>
      <c r="AK31" s="231" t="s">
        <v>124</v>
      </c>
      <c r="AL31" s="231" t="s">
        <v>160</v>
      </c>
      <c r="AM31" s="231"/>
      <c r="AN31" s="231"/>
      <c r="AO31" s="231"/>
      <c r="AP31" s="231" t="s">
        <v>127</v>
      </c>
      <c r="AQ31" s="231" t="s">
        <v>128</v>
      </c>
      <c r="AR31" s="231" t="s">
        <v>129</v>
      </c>
      <c r="AS31" s="231" t="s">
        <v>130</v>
      </c>
      <c r="AT31" s="231" t="s">
        <v>131</v>
      </c>
      <c r="AU31" s="231" t="s">
        <v>160</v>
      </c>
      <c r="AV31" s="231"/>
      <c r="AW31" s="231"/>
      <c r="AX31" s="231" t="s">
        <v>133</v>
      </c>
      <c r="AY31" s="231" t="s">
        <v>134</v>
      </c>
      <c r="AZ31" s="231" t="s">
        <v>135</v>
      </c>
      <c r="BA31" s="231" t="s">
        <v>121</v>
      </c>
      <c r="BB31" s="231" t="s">
        <v>136</v>
      </c>
      <c r="BC31" s="231" t="s">
        <v>137</v>
      </c>
      <c r="BD31" s="231" t="s">
        <v>138</v>
      </c>
      <c r="BE31" s="231"/>
      <c r="BF31" s="231"/>
      <c r="BG31" s="231" t="s">
        <v>141</v>
      </c>
      <c r="BH31" s="231"/>
      <c r="BI31" s="231"/>
      <c r="BJ31" s="231"/>
      <c r="BK31" s="231" t="s">
        <v>142</v>
      </c>
      <c r="BL31" s="231" t="s">
        <v>143</v>
      </c>
      <c r="BM31" s="231"/>
      <c r="BN31" s="231"/>
      <c r="BO31" s="231"/>
      <c r="BP31" s="231"/>
      <c r="BQ31" s="231" t="s">
        <v>165</v>
      </c>
      <c r="BR31" s="231" t="s">
        <v>147</v>
      </c>
      <c r="BS31" s="231" t="s">
        <v>160</v>
      </c>
      <c r="BT31" s="231" t="s">
        <v>149</v>
      </c>
      <c r="BU31" s="231" t="s">
        <v>160</v>
      </c>
      <c r="BV31" s="231"/>
      <c r="BW31" s="231"/>
      <c r="BX31" s="231" t="s">
        <v>176</v>
      </c>
      <c r="BY31" s="231" t="s">
        <v>177</v>
      </c>
      <c r="BZ31" s="231" t="s">
        <v>178</v>
      </c>
      <c r="CA31" s="231" t="s">
        <v>170</v>
      </c>
      <c r="CB31" s="231" t="s">
        <v>160</v>
      </c>
      <c r="CC31" s="231" t="s">
        <v>170</v>
      </c>
      <c r="CD31" s="1" t="s">
        <v>160</v>
      </c>
    </row>
    <row r="32" spans="1:82" s="1" customFormat="1" ht="27" customHeight="1" thickBot="1" x14ac:dyDescent="0.4">
      <c r="A32" s="246">
        <v>74</v>
      </c>
      <c r="B32" s="355"/>
      <c r="C32" s="247">
        <v>46176.646469907406</v>
      </c>
      <c r="D32" s="248" t="s">
        <v>663</v>
      </c>
      <c r="E32" s="248"/>
      <c r="F32" s="249" t="s">
        <v>49</v>
      </c>
      <c r="G32" s="248" t="s">
        <v>13</v>
      </c>
      <c r="H32" s="250" t="s">
        <v>73</v>
      </c>
      <c r="I32" s="251" t="s">
        <v>69</v>
      </c>
      <c r="J32" s="252" t="s">
        <v>210</v>
      </c>
      <c r="K32" s="252" t="s">
        <v>211</v>
      </c>
      <c r="L32" s="252" t="s">
        <v>212</v>
      </c>
      <c r="M32" s="252" t="s">
        <v>160</v>
      </c>
      <c r="N32" s="252"/>
      <c r="O32" s="252"/>
      <c r="P32" s="252" t="s">
        <v>213</v>
      </c>
      <c r="Q32" s="252" t="s">
        <v>160</v>
      </c>
      <c r="R32" s="252"/>
      <c r="S32" s="252"/>
      <c r="T32" s="252" t="s">
        <v>214</v>
      </c>
      <c r="U32" s="252" t="s">
        <v>215</v>
      </c>
      <c r="V32" s="252"/>
      <c r="W32" s="252" t="s">
        <v>160</v>
      </c>
      <c r="X32" s="252"/>
      <c r="Y32" s="252"/>
      <c r="Z32" s="252"/>
      <c r="AA32" s="252"/>
      <c r="AB32" s="252" t="s">
        <v>216</v>
      </c>
      <c r="AC32" s="252" t="s">
        <v>160</v>
      </c>
      <c r="AD32" s="252" t="s">
        <v>217</v>
      </c>
      <c r="AE32" s="252"/>
      <c r="AF32" s="252"/>
      <c r="AG32" s="252"/>
      <c r="AH32" s="252" t="s">
        <v>218</v>
      </c>
      <c r="AI32" s="252" t="s">
        <v>219</v>
      </c>
      <c r="AJ32" s="252" t="s">
        <v>160</v>
      </c>
      <c r="AK32" s="252" t="s">
        <v>220</v>
      </c>
      <c r="AL32" s="252" t="s">
        <v>160</v>
      </c>
      <c r="AM32" s="252"/>
      <c r="AN32" s="252"/>
      <c r="AO32" s="252"/>
      <c r="AP32" s="252"/>
      <c r="AQ32" s="252"/>
      <c r="AR32" s="252"/>
      <c r="AS32" s="252"/>
      <c r="AT32" s="252"/>
      <c r="AU32" s="252"/>
      <c r="AV32" s="252" t="s">
        <v>221</v>
      </c>
      <c r="AW32" s="252" t="s">
        <v>160</v>
      </c>
      <c r="AX32" s="252"/>
      <c r="AY32" s="252"/>
      <c r="AZ32" s="252"/>
      <c r="BA32" s="252"/>
      <c r="BB32" s="252"/>
      <c r="BC32" s="252"/>
      <c r="BD32" s="252"/>
      <c r="BE32" s="252"/>
      <c r="BF32" s="252"/>
      <c r="BG32" s="252"/>
      <c r="BH32" s="252"/>
      <c r="BI32" s="252" t="s">
        <v>221</v>
      </c>
      <c r="BJ32" s="252"/>
      <c r="BK32" s="252"/>
      <c r="BL32" s="252" t="s">
        <v>222</v>
      </c>
      <c r="BM32" s="252"/>
      <c r="BN32" s="252"/>
      <c r="BO32" s="252"/>
      <c r="BP32" s="252"/>
      <c r="BQ32" s="252" t="s">
        <v>223</v>
      </c>
      <c r="BR32" s="252"/>
      <c r="BS32" s="252" t="s">
        <v>224</v>
      </c>
      <c r="BT32" s="252" t="s">
        <v>160</v>
      </c>
      <c r="BU32" s="252"/>
      <c r="BV32" s="252"/>
      <c r="BW32" s="252"/>
      <c r="BX32" s="252" t="s">
        <v>225</v>
      </c>
      <c r="BY32" s="252" t="s">
        <v>217</v>
      </c>
      <c r="BZ32" s="252" t="s">
        <v>226</v>
      </c>
      <c r="CA32" s="252" t="s">
        <v>227</v>
      </c>
      <c r="CB32" s="252"/>
      <c r="CC32" s="252" t="s">
        <v>228</v>
      </c>
      <c r="CD32" s="1" t="s">
        <v>160</v>
      </c>
    </row>
    <row r="33" spans="1:84" s="1" customFormat="1" ht="27" customHeight="1" thickTop="1" x14ac:dyDescent="0.35">
      <c r="A33" s="159">
        <v>73</v>
      </c>
      <c r="B33" s="356">
        <v>46143</v>
      </c>
      <c r="C33" s="158">
        <v>46163.561990740738</v>
      </c>
      <c r="D33" s="111" t="s">
        <v>664</v>
      </c>
      <c r="F33" s="112" t="s">
        <v>39</v>
      </c>
      <c r="G33" s="111" t="s">
        <v>13</v>
      </c>
      <c r="H33" s="111" t="s">
        <v>58</v>
      </c>
      <c r="I33" s="113">
        <v>1</v>
      </c>
      <c r="J33" s="159" t="s">
        <v>198</v>
      </c>
      <c r="K33" s="159" t="s">
        <v>172</v>
      </c>
      <c r="L33" s="159" t="s">
        <v>159</v>
      </c>
      <c r="M33" s="159" t="s">
        <v>160</v>
      </c>
      <c r="N33" s="159"/>
      <c r="O33" s="159"/>
      <c r="P33" s="159" t="s">
        <v>104</v>
      </c>
      <c r="Q33" s="159" t="s">
        <v>160</v>
      </c>
      <c r="R33" s="159"/>
      <c r="S33" s="159"/>
      <c r="T33" s="159"/>
      <c r="U33" s="159" t="s">
        <v>109</v>
      </c>
      <c r="V33" s="159" t="s">
        <v>110</v>
      </c>
      <c r="W33" s="159" t="s">
        <v>160</v>
      </c>
      <c r="X33" s="159"/>
      <c r="Y33" s="159"/>
      <c r="Z33" s="159"/>
      <c r="AA33" s="159"/>
      <c r="AB33" s="159" t="s">
        <v>182</v>
      </c>
      <c r="AC33" s="159" t="s">
        <v>160</v>
      </c>
      <c r="AD33" s="159" t="s">
        <v>185</v>
      </c>
      <c r="AE33" s="159" t="s">
        <v>160</v>
      </c>
      <c r="AF33" s="159"/>
      <c r="AG33" s="159"/>
      <c r="AH33" s="159"/>
      <c r="AI33" s="159" t="s">
        <v>122</v>
      </c>
      <c r="AJ33" s="159" t="s">
        <v>160</v>
      </c>
      <c r="AK33" s="159" t="s">
        <v>124</v>
      </c>
      <c r="AL33" s="159" t="s">
        <v>160</v>
      </c>
      <c r="AM33" s="159" t="s">
        <v>126</v>
      </c>
      <c r="AN33" s="159" t="s">
        <v>160</v>
      </c>
      <c r="AO33" s="159"/>
      <c r="AP33" s="159"/>
      <c r="AQ33" s="159"/>
      <c r="AR33" s="159"/>
      <c r="AS33" s="159" t="s">
        <v>130</v>
      </c>
      <c r="AT33" s="159" t="s">
        <v>160</v>
      </c>
      <c r="AU33" s="159"/>
      <c r="AV33" s="159"/>
      <c r="AW33" s="159"/>
      <c r="AX33" s="159"/>
      <c r="AY33" s="159"/>
      <c r="AZ33" s="159"/>
      <c r="BA33" s="159"/>
      <c r="BB33" s="159"/>
      <c r="BC33" s="159"/>
      <c r="BD33" s="159"/>
      <c r="BE33" s="159"/>
      <c r="BF33" s="159"/>
      <c r="BG33" s="159"/>
      <c r="BH33" s="159"/>
      <c r="BI33" s="159" t="s">
        <v>132</v>
      </c>
      <c r="BJ33" s="159"/>
      <c r="BK33" s="159" t="s">
        <v>142</v>
      </c>
      <c r="BL33" s="159"/>
      <c r="BM33" s="159"/>
      <c r="BN33" s="159" t="s">
        <v>145</v>
      </c>
      <c r="BO33" s="159"/>
      <c r="BP33" s="159"/>
      <c r="BQ33" s="159" t="s">
        <v>174</v>
      </c>
      <c r="BR33" s="159"/>
      <c r="BS33" s="159" t="s">
        <v>148</v>
      </c>
      <c r="BT33" s="159"/>
      <c r="BU33" s="159"/>
      <c r="BV33" s="159"/>
      <c r="BW33" s="159"/>
      <c r="BX33" s="159" t="s">
        <v>176</v>
      </c>
      <c r="BY33" s="159" t="s">
        <v>177</v>
      </c>
      <c r="BZ33" s="159" t="s">
        <v>168</v>
      </c>
      <c r="CA33" s="159" t="s">
        <v>169</v>
      </c>
      <c r="CB33" s="159"/>
      <c r="CC33" s="159" t="s">
        <v>169</v>
      </c>
    </row>
    <row r="34" spans="1:84" s="1" customFormat="1" ht="27" customHeight="1" x14ac:dyDescent="0.35">
      <c r="A34" s="159">
        <v>72</v>
      </c>
      <c r="B34" s="357"/>
      <c r="C34" s="123">
        <v>46161.622708333336</v>
      </c>
      <c r="D34" s="9" t="s">
        <v>665</v>
      </c>
      <c r="E34" s="9"/>
      <c r="F34" s="10" t="s">
        <v>39</v>
      </c>
      <c r="G34" s="9" t="s">
        <v>13</v>
      </c>
      <c r="H34" s="9" t="s">
        <v>46</v>
      </c>
      <c r="I34" s="12" t="s">
        <v>27</v>
      </c>
      <c r="J34" s="5" t="s">
        <v>171</v>
      </c>
      <c r="K34" s="5" t="s">
        <v>172</v>
      </c>
      <c r="L34" s="5" t="s">
        <v>203</v>
      </c>
      <c r="M34" s="5" t="s">
        <v>160</v>
      </c>
      <c r="N34" s="5"/>
      <c r="O34" s="5"/>
      <c r="P34" s="5" t="s">
        <v>104</v>
      </c>
      <c r="Q34" s="5" t="s">
        <v>160</v>
      </c>
      <c r="R34" s="5"/>
      <c r="S34" s="5"/>
      <c r="T34" s="5" t="s">
        <v>108</v>
      </c>
      <c r="U34" s="5" t="s">
        <v>109</v>
      </c>
      <c r="V34" s="5" t="s">
        <v>160</v>
      </c>
      <c r="W34" s="5"/>
      <c r="X34" s="5"/>
      <c r="Y34" s="5"/>
      <c r="Z34" s="5"/>
      <c r="AA34" s="5"/>
      <c r="AB34" s="5" t="s">
        <v>161</v>
      </c>
      <c r="AC34" s="5" t="s">
        <v>160</v>
      </c>
      <c r="AD34" s="5" t="s">
        <v>165</v>
      </c>
      <c r="AE34" s="5" t="s">
        <v>160</v>
      </c>
      <c r="AF34" s="5"/>
      <c r="AG34" s="5" t="s">
        <v>120</v>
      </c>
      <c r="AH34" s="5" t="s">
        <v>160</v>
      </c>
      <c r="AI34" s="5" t="s">
        <v>122</v>
      </c>
      <c r="AJ34" s="5" t="s">
        <v>160</v>
      </c>
      <c r="AK34" s="5"/>
      <c r="AL34" s="5"/>
      <c r="AM34" s="5"/>
      <c r="AN34" s="5"/>
      <c r="AO34" s="5"/>
      <c r="AP34" s="5" t="s">
        <v>127</v>
      </c>
      <c r="AQ34" s="5" t="s">
        <v>160</v>
      </c>
      <c r="AR34" s="5" t="s">
        <v>129</v>
      </c>
      <c r="AS34" s="5" t="s">
        <v>130</v>
      </c>
      <c r="AT34" s="5" t="s">
        <v>160</v>
      </c>
      <c r="AU34" s="5"/>
      <c r="AV34" s="5"/>
      <c r="AW34" s="5"/>
      <c r="AX34" s="5"/>
      <c r="AY34" s="5"/>
      <c r="AZ34" s="5"/>
      <c r="BA34" s="5"/>
      <c r="BB34" s="5" t="s">
        <v>136</v>
      </c>
      <c r="BC34" s="5" t="s">
        <v>160</v>
      </c>
      <c r="BD34" s="5"/>
      <c r="BE34" s="5"/>
      <c r="BF34" s="5"/>
      <c r="BG34" s="5"/>
      <c r="BH34" s="5"/>
      <c r="BI34" s="5"/>
      <c r="BJ34" s="5"/>
      <c r="BK34" s="5" t="s">
        <v>142</v>
      </c>
      <c r="BL34" s="5"/>
      <c r="BM34" s="5"/>
      <c r="BN34" s="5"/>
      <c r="BO34" s="5"/>
      <c r="BP34" s="5"/>
      <c r="BQ34" s="5" t="s">
        <v>165</v>
      </c>
      <c r="BR34" s="5" t="s">
        <v>147</v>
      </c>
      <c r="BS34" s="5"/>
      <c r="BT34" s="5" t="s">
        <v>149</v>
      </c>
      <c r="BU34" s="5"/>
      <c r="BV34" s="5"/>
      <c r="BW34" s="5"/>
      <c r="BX34" s="5" t="s">
        <v>176</v>
      </c>
      <c r="BY34" s="5" t="s">
        <v>174</v>
      </c>
      <c r="BZ34" s="5" t="s">
        <v>178</v>
      </c>
      <c r="CA34" s="5" t="s">
        <v>170</v>
      </c>
      <c r="CB34" s="5"/>
      <c r="CC34" s="5" t="s">
        <v>170</v>
      </c>
      <c r="CD34" s="1" t="s">
        <v>160</v>
      </c>
    </row>
    <row r="35" spans="1:84" s="1" customFormat="1" ht="27" customHeight="1" thickBot="1" x14ac:dyDescent="0.4">
      <c r="A35" s="116">
        <v>71</v>
      </c>
      <c r="B35" s="358"/>
      <c r="C35" s="129">
        <v>46147.5700462963</v>
      </c>
      <c r="D35" s="245" t="s">
        <v>666</v>
      </c>
      <c r="F35" s="10" t="s">
        <v>39</v>
      </c>
      <c r="G35" s="9" t="s">
        <v>13</v>
      </c>
      <c r="H35" s="9" t="s">
        <v>29</v>
      </c>
      <c r="I35" s="12" t="s">
        <v>27</v>
      </c>
      <c r="J35" s="116" t="s">
        <v>157</v>
      </c>
      <c r="K35" s="116" t="s">
        <v>191</v>
      </c>
      <c r="L35" s="116" t="s">
        <v>159</v>
      </c>
      <c r="M35" s="116" t="s">
        <v>101</v>
      </c>
      <c r="N35" s="116" t="s">
        <v>160</v>
      </c>
      <c r="O35" s="116" t="s">
        <v>103</v>
      </c>
      <c r="P35" s="116"/>
      <c r="Q35" s="116"/>
      <c r="R35" s="116"/>
      <c r="S35" s="116"/>
      <c r="T35" s="116" t="s">
        <v>108</v>
      </c>
      <c r="U35" s="116" t="s">
        <v>160</v>
      </c>
      <c r="V35" s="116"/>
      <c r="W35" s="116"/>
      <c r="X35" s="116"/>
      <c r="Y35" s="116"/>
      <c r="Z35" s="116"/>
      <c r="AA35" s="116"/>
      <c r="AB35" s="116" t="s">
        <v>161</v>
      </c>
      <c r="AC35" s="116" t="s">
        <v>160</v>
      </c>
      <c r="AD35" s="116" t="s">
        <v>165</v>
      </c>
      <c r="AE35" s="116" t="s">
        <v>118</v>
      </c>
      <c r="AF35" s="116" t="s">
        <v>160</v>
      </c>
      <c r="AG35" s="116" t="s">
        <v>120</v>
      </c>
      <c r="AH35" s="116" t="s">
        <v>160</v>
      </c>
      <c r="AI35" s="116" t="s">
        <v>122</v>
      </c>
      <c r="AJ35" s="116" t="s">
        <v>160</v>
      </c>
      <c r="AK35" s="116"/>
      <c r="AL35" s="116"/>
      <c r="AM35" s="116"/>
      <c r="AN35" s="116"/>
      <c r="AO35" s="116"/>
      <c r="AP35" s="116" t="s">
        <v>127</v>
      </c>
      <c r="AQ35" s="116" t="s">
        <v>128</v>
      </c>
      <c r="AR35" s="116" t="s">
        <v>129</v>
      </c>
      <c r="AS35" s="116" t="s">
        <v>130</v>
      </c>
      <c r="AT35" s="116" t="s">
        <v>131</v>
      </c>
      <c r="AU35" s="116" t="s">
        <v>160</v>
      </c>
      <c r="AV35" s="116"/>
      <c r="AW35" s="116"/>
      <c r="AX35" s="116" t="s">
        <v>133</v>
      </c>
      <c r="AY35" s="116" t="s">
        <v>160</v>
      </c>
      <c r="AZ35" s="116"/>
      <c r="BA35" s="116" t="s">
        <v>121</v>
      </c>
      <c r="BB35" s="116" t="s">
        <v>136</v>
      </c>
      <c r="BC35" s="116" t="s">
        <v>160</v>
      </c>
      <c r="BD35" s="116" t="s">
        <v>138</v>
      </c>
      <c r="BE35" s="116"/>
      <c r="BF35" s="116"/>
      <c r="BG35" s="116" t="s">
        <v>141</v>
      </c>
      <c r="BH35" s="116"/>
      <c r="BI35" s="116"/>
      <c r="BJ35" s="116"/>
      <c r="BK35" s="116" t="s">
        <v>142</v>
      </c>
      <c r="BL35" s="116"/>
      <c r="BM35" s="116"/>
      <c r="BN35" s="116"/>
      <c r="BO35" s="116"/>
      <c r="BP35" s="116"/>
      <c r="BQ35" s="116" t="s">
        <v>178</v>
      </c>
      <c r="BR35" s="116" t="s">
        <v>147</v>
      </c>
      <c r="BS35" s="116"/>
      <c r="BT35" s="116" t="s">
        <v>149</v>
      </c>
      <c r="BU35" s="116" t="s">
        <v>150</v>
      </c>
      <c r="BV35" s="116"/>
      <c r="BW35" s="116"/>
      <c r="BX35" s="116" t="s">
        <v>176</v>
      </c>
      <c r="BY35" s="116" t="s">
        <v>167</v>
      </c>
      <c r="BZ35" s="116" t="s">
        <v>168</v>
      </c>
      <c r="CA35" s="116" t="s">
        <v>170</v>
      </c>
      <c r="CB35" s="116"/>
      <c r="CC35" s="116" t="s">
        <v>170</v>
      </c>
      <c r="CD35" s="1" t="s">
        <v>160</v>
      </c>
    </row>
    <row r="36" spans="1:84" s="1" customFormat="1" ht="27" customHeight="1" x14ac:dyDescent="0.35">
      <c r="A36" s="231">
        <v>70</v>
      </c>
      <c r="B36" s="351">
        <v>46113</v>
      </c>
      <c r="C36" s="230">
        <v>46139.620729166665</v>
      </c>
      <c r="D36" s="241" t="s">
        <v>667</v>
      </c>
      <c r="E36" s="409" t="s">
        <v>803</v>
      </c>
      <c r="F36" s="242" t="s">
        <v>30</v>
      </c>
      <c r="G36" s="241" t="s">
        <v>31</v>
      </c>
      <c r="H36" s="241" t="s">
        <v>26</v>
      </c>
      <c r="I36" s="243" t="s">
        <v>57</v>
      </c>
      <c r="J36" s="231" t="s">
        <v>184</v>
      </c>
      <c r="K36" s="231" t="s">
        <v>158</v>
      </c>
      <c r="L36" s="231" t="s">
        <v>159</v>
      </c>
      <c r="M36" s="231"/>
      <c r="N36" s="231"/>
      <c r="O36" s="231" t="s">
        <v>103</v>
      </c>
      <c r="P36" s="231"/>
      <c r="Q36" s="231"/>
      <c r="R36" s="231" t="s">
        <v>106</v>
      </c>
      <c r="S36" s="231"/>
      <c r="T36" s="231"/>
      <c r="U36" s="231" t="s">
        <v>109</v>
      </c>
      <c r="V36" s="231" t="s">
        <v>160</v>
      </c>
      <c r="W36" s="231"/>
      <c r="X36" s="231"/>
      <c r="Y36" s="231"/>
      <c r="Z36" s="231"/>
      <c r="AA36" s="231"/>
      <c r="AB36" s="231" t="s">
        <v>161</v>
      </c>
      <c r="AC36" s="231" t="s">
        <v>160</v>
      </c>
      <c r="AD36" s="231" t="s">
        <v>185</v>
      </c>
      <c r="AE36" s="231" t="s">
        <v>160</v>
      </c>
      <c r="AF36" s="231" t="s">
        <v>119</v>
      </c>
      <c r="AG36" s="231" t="s">
        <v>160</v>
      </c>
      <c r="AH36" s="231"/>
      <c r="AI36" s="231" t="s">
        <v>122</v>
      </c>
      <c r="AJ36" s="231" t="s">
        <v>160</v>
      </c>
      <c r="AK36" s="231"/>
      <c r="AL36" s="231"/>
      <c r="AM36" s="231"/>
      <c r="AN36" s="231"/>
      <c r="AO36" s="231"/>
      <c r="AP36" s="231" t="s">
        <v>127</v>
      </c>
      <c r="AQ36" s="231" t="s">
        <v>160</v>
      </c>
      <c r="AR36" s="231" t="s">
        <v>129</v>
      </c>
      <c r="AS36" s="231" t="s">
        <v>130</v>
      </c>
      <c r="AT36" s="231" t="s">
        <v>160</v>
      </c>
      <c r="AU36" s="231"/>
      <c r="AV36" s="231"/>
      <c r="AW36" s="231"/>
      <c r="AX36" s="231"/>
      <c r="AY36" s="231"/>
      <c r="AZ36" s="231"/>
      <c r="BA36" s="231"/>
      <c r="BB36" s="231"/>
      <c r="BC36" s="231"/>
      <c r="BD36" s="231"/>
      <c r="BE36" s="231" t="s">
        <v>139</v>
      </c>
      <c r="BF36" s="231" t="s">
        <v>140</v>
      </c>
      <c r="BG36" s="231"/>
      <c r="BH36" s="231"/>
      <c r="BI36" s="231"/>
      <c r="BJ36" s="231"/>
      <c r="BK36" s="231"/>
      <c r="BL36" s="231"/>
      <c r="BM36" s="231"/>
      <c r="BN36" s="231" t="s">
        <v>145</v>
      </c>
      <c r="BO36" s="231"/>
      <c r="BP36" s="231"/>
      <c r="BQ36" s="231" t="s">
        <v>174</v>
      </c>
      <c r="BR36" s="231" t="s">
        <v>147</v>
      </c>
      <c r="BS36" s="231"/>
      <c r="BT36" s="231"/>
      <c r="BU36" s="231"/>
      <c r="BV36" s="231"/>
      <c r="BW36" s="231"/>
      <c r="BX36" s="231" t="s">
        <v>166</v>
      </c>
      <c r="BY36" s="231" t="s">
        <v>167</v>
      </c>
      <c r="BZ36" s="231" t="s">
        <v>178</v>
      </c>
      <c r="CA36" s="231" t="s">
        <v>169</v>
      </c>
      <c r="CB36" s="231"/>
      <c r="CC36" s="231" t="s">
        <v>197</v>
      </c>
      <c r="CD36" s="1" t="s">
        <v>160</v>
      </c>
    </row>
    <row r="37" spans="1:84" s="1" customFormat="1" ht="27" customHeight="1" x14ac:dyDescent="0.35">
      <c r="A37" s="5">
        <v>69</v>
      </c>
      <c r="B37" s="352"/>
      <c r="C37" s="123">
        <v>46132.570092592592</v>
      </c>
      <c r="D37" s="228" t="s">
        <v>668</v>
      </c>
      <c r="E37" s="178"/>
      <c r="F37" s="10" t="s">
        <v>49</v>
      </c>
      <c r="G37" s="9" t="s">
        <v>31</v>
      </c>
      <c r="H37" s="9" t="s">
        <v>29</v>
      </c>
      <c r="I37" s="12" t="s">
        <v>27</v>
      </c>
      <c r="J37" s="5" t="s">
        <v>171</v>
      </c>
      <c r="K37" s="5" t="s">
        <v>172</v>
      </c>
      <c r="L37" s="5" t="s">
        <v>181</v>
      </c>
      <c r="M37" s="5"/>
      <c r="N37" s="5"/>
      <c r="O37" s="5"/>
      <c r="P37" s="5"/>
      <c r="Q37" s="5"/>
      <c r="R37" s="5"/>
      <c r="S37" s="5"/>
      <c r="T37" s="5" t="s">
        <v>108</v>
      </c>
      <c r="U37" s="5" t="s">
        <v>160</v>
      </c>
      <c r="V37" s="5"/>
      <c r="W37" s="5"/>
      <c r="X37" s="5"/>
      <c r="Y37" s="5" t="s">
        <v>113</v>
      </c>
      <c r="Z37" s="5"/>
      <c r="AA37" s="5" t="s">
        <v>229</v>
      </c>
      <c r="AB37" s="5" t="s">
        <v>161</v>
      </c>
      <c r="AC37" s="5" t="s">
        <v>160</v>
      </c>
      <c r="AD37" s="5" t="s">
        <v>162</v>
      </c>
      <c r="AE37" s="5"/>
      <c r="AF37" s="5"/>
      <c r="AG37" s="5"/>
      <c r="AH37" s="5"/>
      <c r="AI37" s="5"/>
      <c r="AJ37" s="5"/>
      <c r="AK37" s="5" t="s">
        <v>124</v>
      </c>
      <c r="AL37" s="5" t="s">
        <v>160</v>
      </c>
      <c r="AM37" s="5"/>
      <c r="AN37" s="5"/>
      <c r="AO37" s="5"/>
      <c r="AP37" s="5" t="s">
        <v>127</v>
      </c>
      <c r="AQ37" s="5" t="s">
        <v>128</v>
      </c>
      <c r="AR37" s="5" t="s">
        <v>129</v>
      </c>
      <c r="AS37" s="5" t="s">
        <v>130</v>
      </c>
      <c r="AT37" s="5" t="s">
        <v>131</v>
      </c>
      <c r="AU37" s="5" t="s">
        <v>160</v>
      </c>
      <c r="AV37" s="5"/>
      <c r="AW37" s="5"/>
      <c r="AX37" s="5" t="s">
        <v>133</v>
      </c>
      <c r="AY37" s="5" t="s">
        <v>134</v>
      </c>
      <c r="AZ37" s="5" t="s">
        <v>160</v>
      </c>
      <c r="BA37" s="5"/>
      <c r="BB37" s="5" t="s">
        <v>136</v>
      </c>
      <c r="BC37" s="5" t="s">
        <v>160</v>
      </c>
      <c r="BD37" s="5" t="s">
        <v>138</v>
      </c>
      <c r="BE37" s="5" t="s">
        <v>139</v>
      </c>
      <c r="BF37" s="5" t="s">
        <v>140</v>
      </c>
      <c r="BG37" s="5" t="s">
        <v>141</v>
      </c>
      <c r="BH37" s="5"/>
      <c r="BI37" s="5"/>
      <c r="BJ37" s="5"/>
      <c r="BK37" s="5" t="s">
        <v>142</v>
      </c>
      <c r="BL37" s="5"/>
      <c r="BM37" s="5" t="s">
        <v>144</v>
      </c>
      <c r="BN37" s="5"/>
      <c r="BO37" s="5"/>
      <c r="BP37" s="5"/>
      <c r="BQ37" s="5" t="s">
        <v>165</v>
      </c>
      <c r="BR37" s="5"/>
      <c r="BS37" s="5"/>
      <c r="BT37" s="5" t="s">
        <v>149</v>
      </c>
      <c r="BU37" s="5"/>
      <c r="BV37" s="5"/>
      <c r="BW37" s="5"/>
      <c r="BX37" s="5" t="s">
        <v>166</v>
      </c>
      <c r="BY37" s="5" t="s">
        <v>177</v>
      </c>
      <c r="BZ37" s="5" t="s">
        <v>168</v>
      </c>
      <c r="CA37" s="5" t="s">
        <v>170</v>
      </c>
      <c r="CB37" s="5"/>
      <c r="CC37" s="5" t="s">
        <v>170</v>
      </c>
      <c r="CD37" s="1" t="s">
        <v>160</v>
      </c>
      <c r="CE37"/>
      <c r="CF37" s="227"/>
    </row>
    <row r="38" spans="1:84" s="1" customFormat="1" ht="27" customHeight="1" x14ac:dyDescent="0.35">
      <c r="A38" s="5">
        <v>68</v>
      </c>
      <c r="B38" s="352"/>
      <c r="C38" s="123">
        <v>46132.504733796297</v>
      </c>
      <c r="D38" s="9" t="s">
        <v>669</v>
      </c>
      <c r="E38" s="178"/>
      <c r="F38" s="10" t="s">
        <v>30</v>
      </c>
      <c r="G38" s="9" t="s">
        <v>31</v>
      </c>
      <c r="H38" s="9" t="s">
        <v>26</v>
      </c>
      <c r="I38" s="12" t="s">
        <v>71</v>
      </c>
      <c r="J38" s="5" t="s">
        <v>171</v>
      </c>
      <c r="K38" s="5" t="s">
        <v>191</v>
      </c>
      <c r="L38" s="5" t="s">
        <v>181</v>
      </c>
      <c r="M38" s="5"/>
      <c r="N38" s="5"/>
      <c r="O38" s="5"/>
      <c r="P38" s="5"/>
      <c r="Q38" s="5"/>
      <c r="R38" s="5"/>
      <c r="S38" s="5"/>
      <c r="T38" s="5" t="s">
        <v>108</v>
      </c>
      <c r="U38" s="5" t="s">
        <v>109</v>
      </c>
      <c r="V38" s="5" t="s">
        <v>110</v>
      </c>
      <c r="W38" s="5" t="s">
        <v>160</v>
      </c>
      <c r="X38" s="5"/>
      <c r="Y38" s="5"/>
      <c r="Z38" s="5"/>
      <c r="AA38" s="5"/>
      <c r="AB38" s="5" t="s">
        <v>161</v>
      </c>
      <c r="AC38" s="5" t="s">
        <v>160</v>
      </c>
      <c r="AD38" s="5" t="s">
        <v>162</v>
      </c>
      <c r="AE38" s="5" t="s">
        <v>118</v>
      </c>
      <c r="AF38" s="5" t="s">
        <v>160</v>
      </c>
      <c r="AG38" s="5"/>
      <c r="AH38" s="5"/>
      <c r="AI38" s="5" t="s">
        <v>122</v>
      </c>
      <c r="AJ38" s="5" t="s">
        <v>160</v>
      </c>
      <c r="AK38" s="5" t="s">
        <v>124</v>
      </c>
      <c r="AL38" s="5" t="s">
        <v>160</v>
      </c>
      <c r="AM38" s="5"/>
      <c r="AN38" s="5"/>
      <c r="AO38" s="5"/>
      <c r="AP38" s="5" t="s">
        <v>127</v>
      </c>
      <c r="AQ38" s="5" t="s">
        <v>128</v>
      </c>
      <c r="AR38" s="5" t="s">
        <v>129</v>
      </c>
      <c r="AS38" s="5" t="s">
        <v>130</v>
      </c>
      <c r="AT38" s="5" t="s">
        <v>131</v>
      </c>
      <c r="AU38" s="5" t="s">
        <v>160</v>
      </c>
      <c r="AV38" s="5"/>
      <c r="AW38" s="5"/>
      <c r="AX38" s="5" t="s">
        <v>133</v>
      </c>
      <c r="AY38" s="5" t="s">
        <v>134</v>
      </c>
      <c r="AZ38" s="5" t="s">
        <v>135</v>
      </c>
      <c r="BA38" s="5" t="s">
        <v>121</v>
      </c>
      <c r="BB38" s="5" t="s">
        <v>136</v>
      </c>
      <c r="BC38" s="5" t="s">
        <v>137</v>
      </c>
      <c r="BD38" s="5" t="s">
        <v>138</v>
      </c>
      <c r="BE38" s="5"/>
      <c r="BF38" s="5"/>
      <c r="BG38" s="5" t="s">
        <v>141</v>
      </c>
      <c r="BH38" s="5"/>
      <c r="BI38" s="5"/>
      <c r="BJ38" s="5"/>
      <c r="BK38" s="5" t="s">
        <v>142</v>
      </c>
      <c r="BL38" s="5" t="s">
        <v>143</v>
      </c>
      <c r="BM38" s="5" t="s">
        <v>144</v>
      </c>
      <c r="BN38" s="5"/>
      <c r="BO38" s="5"/>
      <c r="BP38" s="5"/>
      <c r="BQ38" s="5" t="s">
        <v>165</v>
      </c>
      <c r="BR38" s="5" t="s">
        <v>147</v>
      </c>
      <c r="BS38" s="5"/>
      <c r="BT38" s="5" t="s">
        <v>149</v>
      </c>
      <c r="BU38" s="5" t="s">
        <v>150</v>
      </c>
      <c r="BV38" s="5"/>
      <c r="BW38" s="5"/>
      <c r="BX38" s="5" t="s">
        <v>166</v>
      </c>
      <c r="BY38" s="5" t="s">
        <v>177</v>
      </c>
      <c r="BZ38" s="5" t="s">
        <v>165</v>
      </c>
      <c r="CA38" s="5" t="s">
        <v>169</v>
      </c>
      <c r="CB38" s="5"/>
      <c r="CC38" s="5" t="s">
        <v>169</v>
      </c>
    </row>
    <row r="39" spans="1:84" s="1" customFormat="1" ht="27" customHeight="1" thickBot="1" x14ac:dyDescent="0.4">
      <c r="A39" s="116">
        <v>67</v>
      </c>
      <c r="B39" s="353"/>
      <c r="C39" s="129">
        <v>46127.673958333333</v>
      </c>
      <c r="D39" s="229" t="s">
        <v>670</v>
      </c>
      <c r="E39" s="178"/>
      <c r="F39" s="108" t="s">
        <v>42</v>
      </c>
      <c r="G39" s="107" t="s">
        <v>13</v>
      </c>
      <c r="H39" s="107" t="s">
        <v>44</v>
      </c>
      <c r="I39" s="109" t="s">
        <v>69</v>
      </c>
      <c r="J39" s="116" t="s">
        <v>180</v>
      </c>
      <c r="K39" s="116" t="s">
        <v>158</v>
      </c>
      <c r="L39" s="116" t="s">
        <v>173</v>
      </c>
      <c r="M39" s="116"/>
      <c r="N39" s="116"/>
      <c r="O39" s="116"/>
      <c r="P39" s="116"/>
      <c r="Q39" s="116"/>
      <c r="R39" s="116"/>
      <c r="S39" s="116"/>
      <c r="T39" s="116"/>
      <c r="U39" s="116"/>
      <c r="V39" s="116"/>
      <c r="W39" s="116"/>
      <c r="X39" s="116"/>
      <c r="Y39" s="116"/>
      <c r="Z39" s="116" t="s">
        <v>114</v>
      </c>
      <c r="AA39" s="116"/>
      <c r="AB39" s="116" t="s">
        <v>161</v>
      </c>
      <c r="AC39" s="116" t="s">
        <v>160</v>
      </c>
      <c r="AD39" s="116" t="s">
        <v>162</v>
      </c>
      <c r="AE39" s="116"/>
      <c r="AF39" s="116"/>
      <c r="AG39" s="116"/>
      <c r="AH39" s="116"/>
      <c r="AI39" s="116" t="s">
        <v>122</v>
      </c>
      <c r="AJ39" s="116" t="s">
        <v>160</v>
      </c>
      <c r="AK39" s="116"/>
      <c r="AL39" s="116"/>
      <c r="AM39" s="116"/>
      <c r="AN39" s="116"/>
      <c r="AO39" s="116"/>
      <c r="AP39" s="116" t="s">
        <v>127</v>
      </c>
      <c r="AQ39" s="116" t="s">
        <v>128</v>
      </c>
      <c r="AR39" s="116" t="s">
        <v>129</v>
      </c>
      <c r="AS39" s="116" t="s">
        <v>130</v>
      </c>
      <c r="AT39" s="116" t="s">
        <v>160</v>
      </c>
      <c r="AU39" s="116"/>
      <c r="AV39" s="116"/>
      <c r="AW39" s="116"/>
      <c r="AX39" s="116"/>
      <c r="AY39" s="116"/>
      <c r="AZ39" s="116"/>
      <c r="BA39" s="116"/>
      <c r="BB39" s="116" t="s">
        <v>136</v>
      </c>
      <c r="BC39" s="116" t="s">
        <v>160</v>
      </c>
      <c r="BD39" s="116" t="s">
        <v>138</v>
      </c>
      <c r="BE39" s="116" t="s">
        <v>139</v>
      </c>
      <c r="BF39" s="116" t="s">
        <v>140</v>
      </c>
      <c r="BG39" s="116"/>
      <c r="BH39" s="116"/>
      <c r="BI39" s="116"/>
      <c r="BJ39" s="116"/>
      <c r="BK39" s="116" t="s">
        <v>142</v>
      </c>
      <c r="BL39" s="116" t="s">
        <v>143</v>
      </c>
      <c r="BM39" s="116"/>
      <c r="BN39" s="116"/>
      <c r="BO39" s="116"/>
      <c r="BP39" s="116"/>
      <c r="BQ39" s="116" t="s">
        <v>174</v>
      </c>
      <c r="BR39" s="116"/>
      <c r="BS39" s="116"/>
      <c r="BT39" s="116" t="s">
        <v>149</v>
      </c>
      <c r="BU39" s="116" t="s">
        <v>150</v>
      </c>
      <c r="BV39" s="116"/>
      <c r="BW39" s="116"/>
      <c r="BX39" s="116" t="s">
        <v>176</v>
      </c>
      <c r="BY39" s="116" t="s">
        <v>167</v>
      </c>
      <c r="BZ39" s="116" t="s">
        <v>178</v>
      </c>
      <c r="CA39" s="116" t="s">
        <v>170</v>
      </c>
      <c r="CB39" s="116"/>
      <c r="CC39" s="116" t="s">
        <v>170</v>
      </c>
      <c r="CD39" s="1" t="s">
        <v>160</v>
      </c>
    </row>
    <row r="40" spans="1:84" s="1" customFormat="1" ht="32.5" customHeight="1" x14ac:dyDescent="0.35">
      <c r="A40" s="256">
        <v>66</v>
      </c>
      <c r="B40" s="351">
        <v>46082</v>
      </c>
      <c r="C40" s="230">
        <v>46111.490289351852</v>
      </c>
      <c r="D40" s="231" t="s">
        <v>671</v>
      </c>
      <c r="E40" s="409" t="s">
        <v>805</v>
      </c>
      <c r="F40" s="242" t="s">
        <v>30</v>
      </c>
      <c r="G40" s="231" t="s">
        <v>31</v>
      </c>
      <c r="H40" s="231" t="s">
        <v>26</v>
      </c>
      <c r="I40" s="233" t="s">
        <v>69</v>
      </c>
      <c r="J40" s="231" t="s">
        <v>171</v>
      </c>
      <c r="K40" s="231" t="s">
        <v>158</v>
      </c>
      <c r="L40" s="231" t="s">
        <v>159</v>
      </c>
      <c r="M40" s="231"/>
      <c r="N40" s="231"/>
      <c r="O40" s="231"/>
      <c r="P40" s="231" t="s">
        <v>104</v>
      </c>
      <c r="Q40" s="231"/>
      <c r="R40" s="231" t="s">
        <v>106</v>
      </c>
      <c r="S40" s="231"/>
      <c r="T40" s="231"/>
      <c r="U40" s="231"/>
      <c r="V40" s="231" t="s">
        <v>110</v>
      </c>
      <c r="W40" s="231" t="s">
        <v>160</v>
      </c>
      <c r="X40" s="231"/>
      <c r="Y40" s="231"/>
      <c r="Z40" s="231"/>
      <c r="AA40" s="231"/>
      <c r="AB40" s="231" t="s">
        <v>161</v>
      </c>
      <c r="AC40" s="231" t="s">
        <v>160</v>
      </c>
      <c r="AD40" s="231" t="s">
        <v>162</v>
      </c>
      <c r="AE40" s="231"/>
      <c r="AF40" s="231"/>
      <c r="AG40" s="231"/>
      <c r="AH40" s="231"/>
      <c r="AI40" s="231" t="s">
        <v>122</v>
      </c>
      <c r="AJ40" s="231" t="s">
        <v>160</v>
      </c>
      <c r="AK40" s="231" t="s">
        <v>124</v>
      </c>
      <c r="AL40" s="231" t="s">
        <v>160</v>
      </c>
      <c r="AM40" s="231" t="s">
        <v>126</v>
      </c>
      <c r="AN40" s="231" t="s">
        <v>160</v>
      </c>
      <c r="AO40" s="231"/>
      <c r="AP40" s="231" t="s">
        <v>127</v>
      </c>
      <c r="AQ40" s="231" t="s">
        <v>128</v>
      </c>
      <c r="AR40" s="231" t="s">
        <v>129</v>
      </c>
      <c r="AS40" s="231" t="s">
        <v>130</v>
      </c>
      <c r="AT40" s="231" t="s">
        <v>131</v>
      </c>
      <c r="AU40" s="231" t="s">
        <v>160</v>
      </c>
      <c r="AV40" s="231"/>
      <c r="AW40" s="231"/>
      <c r="AX40" s="231"/>
      <c r="AY40" s="231"/>
      <c r="AZ40" s="231" t="s">
        <v>135</v>
      </c>
      <c r="BA40" s="231" t="s">
        <v>160</v>
      </c>
      <c r="BB40" s="231" t="s">
        <v>136</v>
      </c>
      <c r="BC40" s="231" t="s">
        <v>160</v>
      </c>
      <c r="BD40" s="231" t="s">
        <v>138</v>
      </c>
      <c r="BE40" s="231"/>
      <c r="BF40" s="231"/>
      <c r="BG40" s="231" t="s">
        <v>141</v>
      </c>
      <c r="BH40" s="231"/>
      <c r="BI40" s="231"/>
      <c r="BJ40" s="231"/>
      <c r="BK40" s="231" t="s">
        <v>142</v>
      </c>
      <c r="BL40" s="231" t="s">
        <v>143</v>
      </c>
      <c r="BM40" s="231" t="s">
        <v>144</v>
      </c>
      <c r="BN40" s="231"/>
      <c r="BO40" s="231"/>
      <c r="BP40" s="231"/>
      <c r="BQ40" s="231" t="s">
        <v>174</v>
      </c>
      <c r="BR40" s="231"/>
      <c r="BS40" s="231"/>
      <c r="BT40" s="231"/>
      <c r="BU40" s="231"/>
      <c r="BV40" s="231" t="s">
        <v>113</v>
      </c>
      <c r="BW40" s="231" t="s">
        <v>230</v>
      </c>
      <c r="BX40" s="231" t="s">
        <v>176</v>
      </c>
      <c r="BY40" s="231" t="s">
        <v>177</v>
      </c>
      <c r="BZ40" s="231" t="s">
        <v>168</v>
      </c>
      <c r="CA40" s="231" t="s">
        <v>170</v>
      </c>
      <c r="CB40" s="231" t="s">
        <v>231</v>
      </c>
      <c r="CC40" s="231" t="s">
        <v>170</v>
      </c>
      <c r="CD40" s="1" t="s">
        <v>160</v>
      </c>
    </row>
    <row r="41" spans="1:84" ht="14.5" x14ac:dyDescent="0.35">
      <c r="A41">
        <v>65</v>
      </c>
      <c r="B41" s="352"/>
      <c r="C41" s="123">
        <v>46107.506249999999</v>
      </c>
      <c r="D41" s="5" t="s">
        <v>672</v>
      </c>
      <c r="E41" s="408" t="s">
        <v>804</v>
      </c>
      <c r="F41" s="10" t="s">
        <v>49</v>
      </c>
      <c r="G41" s="5" t="s">
        <v>31</v>
      </c>
      <c r="H41" s="5" t="s">
        <v>26</v>
      </c>
      <c r="I41" s="101" t="s">
        <v>32</v>
      </c>
      <c r="J41" s="5" t="s">
        <v>184</v>
      </c>
      <c r="K41" s="5" t="s">
        <v>172</v>
      </c>
      <c r="L41" s="5" t="s">
        <v>159</v>
      </c>
      <c r="M41" s="5"/>
      <c r="N41" s="5"/>
      <c r="O41" s="5"/>
      <c r="P41" s="5"/>
      <c r="Q41" s="5"/>
      <c r="R41" s="5"/>
      <c r="S41" s="5"/>
      <c r="T41" s="5"/>
      <c r="U41" s="5"/>
      <c r="V41" s="5"/>
      <c r="W41" s="5"/>
      <c r="X41" s="5"/>
      <c r="Y41" s="5"/>
      <c r="Z41" s="5" t="s">
        <v>114</v>
      </c>
      <c r="AA41" s="5"/>
      <c r="AB41" s="5" t="s">
        <v>161</v>
      </c>
      <c r="AC41" s="5" t="s">
        <v>160</v>
      </c>
      <c r="AD41" s="5" t="s">
        <v>165</v>
      </c>
      <c r="AE41" s="5" t="s">
        <v>160</v>
      </c>
      <c r="AF41" s="5"/>
      <c r="AG41" s="5"/>
      <c r="AH41" s="5"/>
      <c r="AI41" s="5" t="s">
        <v>122</v>
      </c>
      <c r="AJ41" s="5" t="s">
        <v>123</v>
      </c>
      <c r="AK41" s="5" t="s">
        <v>160</v>
      </c>
      <c r="AL41" s="5"/>
      <c r="AM41" s="5" t="s">
        <v>126</v>
      </c>
      <c r="AN41" s="5" t="s">
        <v>160</v>
      </c>
      <c r="AO41" s="5"/>
      <c r="AP41" s="5"/>
      <c r="AQ41" s="5" t="s">
        <v>128</v>
      </c>
      <c r="AR41" s="5" t="s">
        <v>129</v>
      </c>
      <c r="AS41" s="5" t="s">
        <v>130</v>
      </c>
      <c r="AT41" s="5" t="s">
        <v>131</v>
      </c>
      <c r="AU41" s="5" t="s">
        <v>160</v>
      </c>
      <c r="AV41" s="5"/>
      <c r="AW41" s="5"/>
      <c r="AX41" s="5" t="s">
        <v>133</v>
      </c>
      <c r="AY41" s="5" t="s">
        <v>134</v>
      </c>
      <c r="AZ41" s="5" t="s">
        <v>160</v>
      </c>
      <c r="BA41" s="5"/>
      <c r="BB41" s="5" t="s">
        <v>136</v>
      </c>
      <c r="BC41" s="5" t="s">
        <v>137</v>
      </c>
      <c r="BD41" s="5" t="s">
        <v>138</v>
      </c>
      <c r="BE41" s="5"/>
      <c r="BF41" s="5"/>
      <c r="BG41" s="5"/>
      <c r="BH41" s="5"/>
      <c r="BI41" s="5"/>
      <c r="BJ41" s="5"/>
      <c r="BK41" s="5" t="s">
        <v>142</v>
      </c>
      <c r="BL41" s="5"/>
      <c r="BM41" s="5"/>
      <c r="BN41" s="5"/>
      <c r="BO41" s="5"/>
      <c r="BP41" s="5"/>
      <c r="BQ41" s="5" t="s">
        <v>174</v>
      </c>
      <c r="BR41" s="5"/>
      <c r="BS41" s="5" t="s">
        <v>148</v>
      </c>
      <c r="BT41" s="5"/>
      <c r="BU41" s="5"/>
      <c r="BV41" s="5"/>
      <c r="BW41" s="5"/>
      <c r="BX41" s="5" t="s">
        <v>166</v>
      </c>
      <c r="BY41" s="5" t="s">
        <v>177</v>
      </c>
      <c r="BZ41" s="5" t="s">
        <v>178</v>
      </c>
      <c r="CA41" s="5" t="s">
        <v>169</v>
      </c>
      <c r="CB41" s="5"/>
      <c r="CC41" s="5" t="s">
        <v>169</v>
      </c>
      <c r="CD41" t="s">
        <v>160</v>
      </c>
    </row>
    <row r="42" spans="1:84" s="1" customFormat="1" ht="14.5" x14ac:dyDescent="0.35">
      <c r="A42">
        <v>64</v>
      </c>
      <c r="B42" s="352"/>
      <c r="C42" s="123">
        <v>46100.488530092596</v>
      </c>
      <c r="D42" s="5" t="s">
        <v>673</v>
      </c>
      <c r="E42" s="235" t="s">
        <v>806</v>
      </c>
      <c r="F42" s="10" t="s">
        <v>30</v>
      </c>
      <c r="G42" s="5" t="s">
        <v>25</v>
      </c>
      <c r="H42" s="5" t="s">
        <v>16</v>
      </c>
      <c r="I42" s="177" t="s">
        <v>18</v>
      </c>
      <c r="J42" s="5" t="s">
        <v>184</v>
      </c>
      <c r="K42" s="5" t="s">
        <v>172</v>
      </c>
      <c r="L42" s="5" t="s">
        <v>203</v>
      </c>
      <c r="M42" s="5"/>
      <c r="N42" s="5"/>
      <c r="O42" s="5"/>
      <c r="P42" s="5" t="s">
        <v>104</v>
      </c>
      <c r="Q42" s="5"/>
      <c r="R42" s="5"/>
      <c r="S42" s="5"/>
      <c r="T42" s="5" t="s">
        <v>108</v>
      </c>
      <c r="U42" s="5" t="s">
        <v>109</v>
      </c>
      <c r="V42" s="5" t="s">
        <v>160</v>
      </c>
      <c r="W42" s="5"/>
      <c r="X42" s="5"/>
      <c r="Y42" s="5"/>
      <c r="Z42" s="5"/>
      <c r="AA42" s="5"/>
      <c r="AB42" s="5" t="s">
        <v>182</v>
      </c>
      <c r="AC42" s="5" t="s">
        <v>160</v>
      </c>
      <c r="AD42" s="5" t="s">
        <v>185</v>
      </c>
      <c r="AE42" s="5" t="s">
        <v>160</v>
      </c>
      <c r="AF42" s="5"/>
      <c r="AG42" s="5"/>
      <c r="AH42" s="5"/>
      <c r="AI42" s="5"/>
      <c r="AJ42" s="5"/>
      <c r="AK42" s="5"/>
      <c r="AL42" s="5"/>
      <c r="AM42" s="5"/>
      <c r="AN42" s="5" t="s">
        <v>113</v>
      </c>
      <c r="AO42" s="5" t="s">
        <v>232</v>
      </c>
      <c r="AP42" s="5"/>
      <c r="AQ42" s="5"/>
      <c r="AR42" s="5"/>
      <c r="AS42" s="5"/>
      <c r="AT42" s="5"/>
      <c r="AU42" s="5"/>
      <c r="AV42" s="5" t="s">
        <v>132</v>
      </c>
      <c r="AW42" s="5" t="s">
        <v>160</v>
      </c>
      <c r="AX42" s="5"/>
      <c r="AY42" s="5"/>
      <c r="AZ42" s="5"/>
      <c r="BA42" s="5"/>
      <c r="BB42" s="5"/>
      <c r="BC42" s="5"/>
      <c r="BD42" s="5"/>
      <c r="BE42" s="5"/>
      <c r="BF42" s="5" t="s">
        <v>140</v>
      </c>
      <c r="BG42" s="5"/>
      <c r="BH42" s="5"/>
      <c r="BI42" s="5"/>
      <c r="BJ42" s="5"/>
      <c r="BK42" s="5"/>
      <c r="BL42" s="5"/>
      <c r="BM42" s="5" t="s">
        <v>144</v>
      </c>
      <c r="BN42" s="5"/>
      <c r="BO42" s="5"/>
      <c r="BP42" s="5"/>
      <c r="BQ42" s="5" t="s">
        <v>174</v>
      </c>
      <c r="BR42" s="5"/>
      <c r="BS42" s="5" t="s">
        <v>148</v>
      </c>
      <c r="BT42" s="5"/>
      <c r="BU42" s="5"/>
      <c r="BV42" s="5"/>
      <c r="BW42" s="5"/>
      <c r="BX42" s="5" t="s">
        <v>166</v>
      </c>
      <c r="BY42" s="5" t="s">
        <v>174</v>
      </c>
      <c r="BZ42" s="5" t="s">
        <v>168</v>
      </c>
      <c r="CA42" s="5" t="s">
        <v>169</v>
      </c>
      <c r="CB42" s="5"/>
      <c r="CC42" s="5" t="s">
        <v>169</v>
      </c>
      <c r="CD42" s="1" t="s">
        <v>160</v>
      </c>
    </row>
    <row r="43" spans="1:84" s="1" customFormat="1" ht="14.5" x14ac:dyDescent="0.35">
      <c r="A43">
        <v>63</v>
      </c>
      <c r="B43" s="352"/>
      <c r="C43" s="123">
        <v>46093.471250000002</v>
      </c>
      <c r="D43" s="5" t="s">
        <v>674</v>
      </c>
      <c r="E43" s="178"/>
      <c r="F43" s="100" t="s">
        <v>30</v>
      </c>
      <c r="G43" s="5" t="s">
        <v>31</v>
      </c>
      <c r="H43" s="5" t="s">
        <v>16</v>
      </c>
      <c r="I43" s="101" t="s">
        <v>27</v>
      </c>
      <c r="J43" s="5" t="s">
        <v>171</v>
      </c>
      <c r="K43" s="5" t="s">
        <v>191</v>
      </c>
      <c r="L43" s="5" t="s">
        <v>181</v>
      </c>
      <c r="M43" s="5"/>
      <c r="N43" s="5"/>
      <c r="O43" s="5"/>
      <c r="P43" s="5"/>
      <c r="Q43" s="5"/>
      <c r="R43" s="5"/>
      <c r="S43" s="5"/>
      <c r="T43" s="5" t="s">
        <v>108</v>
      </c>
      <c r="U43" s="5" t="s">
        <v>160</v>
      </c>
      <c r="V43" s="5"/>
      <c r="W43" s="5"/>
      <c r="X43" s="5"/>
      <c r="Y43" s="5"/>
      <c r="Z43" s="5"/>
      <c r="AA43" s="5"/>
      <c r="AB43" s="5" t="s">
        <v>161</v>
      </c>
      <c r="AC43" s="5" t="s">
        <v>160</v>
      </c>
      <c r="AD43" s="5" t="s">
        <v>165</v>
      </c>
      <c r="AE43" s="5" t="s">
        <v>118</v>
      </c>
      <c r="AF43" s="5" t="s">
        <v>160</v>
      </c>
      <c r="AG43" s="5"/>
      <c r="AH43" s="5"/>
      <c r="AI43" s="5" t="s">
        <v>122</v>
      </c>
      <c r="AJ43" s="5" t="s">
        <v>160</v>
      </c>
      <c r="AK43" s="5" t="s">
        <v>124</v>
      </c>
      <c r="AL43" s="5" t="s">
        <v>160</v>
      </c>
      <c r="AM43" s="5"/>
      <c r="AN43" s="5"/>
      <c r="AO43" s="5"/>
      <c r="AP43" s="5" t="s">
        <v>127</v>
      </c>
      <c r="AQ43" s="5" t="s">
        <v>128</v>
      </c>
      <c r="AR43" s="5" t="s">
        <v>129</v>
      </c>
      <c r="AS43" s="5" t="s">
        <v>130</v>
      </c>
      <c r="AT43" s="5" t="s">
        <v>131</v>
      </c>
      <c r="AU43" s="5" t="s">
        <v>160</v>
      </c>
      <c r="AV43" s="5"/>
      <c r="AW43" s="5"/>
      <c r="AX43" s="5"/>
      <c r="AY43" s="5"/>
      <c r="AZ43" s="5"/>
      <c r="BA43" s="5"/>
      <c r="BB43" s="5" t="s">
        <v>136</v>
      </c>
      <c r="BC43" s="5" t="s">
        <v>160</v>
      </c>
      <c r="BD43" s="5" t="s">
        <v>138</v>
      </c>
      <c r="BE43" s="5" t="s">
        <v>160</v>
      </c>
      <c r="BF43" s="5" t="s">
        <v>140</v>
      </c>
      <c r="BG43" s="5"/>
      <c r="BH43" s="5"/>
      <c r="BI43" s="5"/>
      <c r="BJ43" s="5"/>
      <c r="BK43" s="5" t="s">
        <v>142</v>
      </c>
      <c r="BL43" s="5" t="s">
        <v>143</v>
      </c>
      <c r="BM43" s="5"/>
      <c r="BN43" s="5"/>
      <c r="BO43" s="5"/>
      <c r="BP43" s="5"/>
      <c r="BQ43" s="5" t="s">
        <v>165</v>
      </c>
      <c r="BR43" s="5"/>
      <c r="BS43" s="5" t="s">
        <v>148</v>
      </c>
      <c r="BT43" s="5"/>
      <c r="BU43" s="5"/>
      <c r="BV43" s="5"/>
      <c r="BW43" s="5"/>
      <c r="BX43" s="5" t="s">
        <v>166</v>
      </c>
      <c r="BY43" s="5" t="s">
        <v>177</v>
      </c>
      <c r="BZ43" s="5" t="s">
        <v>165</v>
      </c>
      <c r="CA43" s="5" t="s">
        <v>170</v>
      </c>
      <c r="CB43" s="5"/>
      <c r="CC43" s="5" t="s">
        <v>169</v>
      </c>
      <c r="CD43" s="1" t="s">
        <v>160</v>
      </c>
    </row>
    <row r="44" spans="1:84" s="1" customFormat="1" ht="14.5" x14ac:dyDescent="0.35">
      <c r="A44">
        <v>62</v>
      </c>
      <c r="B44" s="352"/>
      <c r="C44" s="123">
        <v>46092.696782407409</v>
      </c>
      <c r="D44" s="5" t="s">
        <v>675</v>
      </c>
      <c r="E44" s="178"/>
      <c r="F44" s="100" t="s">
        <v>49</v>
      </c>
      <c r="G44" s="5" t="s">
        <v>25</v>
      </c>
      <c r="H44" s="5" t="s">
        <v>26</v>
      </c>
      <c r="I44" s="101" t="s">
        <v>27</v>
      </c>
      <c r="J44" s="5" t="s">
        <v>180</v>
      </c>
      <c r="K44" s="5" t="s">
        <v>158</v>
      </c>
      <c r="L44" s="5" t="s">
        <v>203</v>
      </c>
      <c r="M44" s="5" t="s">
        <v>101</v>
      </c>
      <c r="N44" s="5"/>
      <c r="O44" s="5"/>
      <c r="P44" s="5"/>
      <c r="Q44" s="5"/>
      <c r="R44" s="5"/>
      <c r="S44" s="5"/>
      <c r="T44" s="5" t="s">
        <v>108</v>
      </c>
      <c r="U44" s="5"/>
      <c r="V44" s="5"/>
      <c r="W44" s="5"/>
      <c r="X44" s="5"/>
      <c r="Y44" s="5"/>
      <c r="Z44" s="5"/>
      <c r="AA44" s="5"/>
      <c r="AB44" s="5" t="s">
        <v>161</v>
      </c>
      <c r="AC44" s="5"/>
      <c r="AD44" s="5" t="s">
        <v>162</v>
      </c>
      <c r="AE44" s="5"/>
      <c r="AF44" s="5"/>
      <c r="AG44" s="5" t="s">
        <v>120</v>
      </c>
      <c r="AH44" s="5" t="s">
        <v>160</v>
      </c>
      <c r="AI44" s="5" t="s">
        <v>122</v>
      </c>
      <c r="AJ44" s="5" t="s">
        <v>160</v>
      </c>
      <c r="AK44" s="5"/>
      <c r="AL44" s="5"/>
      <c r="AM44" s="5"/>
      <c r="AN44" s="5"/>
      <c r="AO44" s="5"/>
      <c r="AP44" s="5" t="s">
        <v>127</v>
      </c>
      <c r="AQ44" s="5" t="s">
        <v>160</v>
      </c>
      <c r="AR44" s="5" t="s">
        <v>129</v>
      </c>
      <c r="AS44" s="5" t="s">
        <v>160</v>
      </c>
      <c r="AT44" s="5"/>
      <c r="AU44" s="5"/>
      <c r="AV44" s="5"/>
      <c r="AW44" s="5"/>
      <c r="AX44" s="5"/>
      <c r="AY44" s="5" t="s">
        <v>134</v>
      </c>
      <c r="AZ44" s="5" t="s">
        <v>135</v>
      </c>
      <c r="BA44" s="5"/>
      <c r="BB44" s="5" t="s">
        <v>136</v>
      </c>
      <c r="BC44" s="5" t="s">
        <v>160</v>
      </c>
      <c r="BD44" s="5"/>
      <c r="BE44" s="5" t="s">
        <v>139</v>
      </c>
      <c r="BF44" s="5" t="s">
        <v>160</v>
      </c>
      <c r="BG44" s="5" t="s">
        <v>141</v>
      </c>
      <c r="BH44" s="5"/>
      <c r="BI44" s="5"/>
      <c r="BJ44" s="5"/>
      <c r="BK44" s="5" t="s">
        <v>142</v>
      </c>
      <c r="BL44" s="5"/>
      <c r="BM44" s="5" t="s">
        <v>144</v>
      </c>
      <c r="BN44" s="5"/>
      <c r="BO44" s="5"/>
      <c r="BP44" s="5"/>
      <c r="BQ44" s="5" t="s">
        <v>165</v>
      </c>
      <c r="BR44" s="5" t="s">
        <v>147</v>
      </c>
      <c r="BS44" s="5"/>
      <c r="BT44" s="5" t="s">
        <v>149</v>
      </c>
      <c r="BU44" s="5" t="s">
        <v>160</v>
      </c>
      <c r="BV44" s="5"/>
      <c r="BW44" s="5"/>
      <c r="BX44" s="5" t="s">
        <v>166</v>
      </c>
      <c r="BY44" s="5" t="s">
        <v>167</v>
      </c>
      <c r="BZ44" s="5" t="s">
        <v>168</v>
      </c>
      <c r="CA44" s="5" t="s">
        <v>170</v>
      </c>
      <c r="CB44" s="5"/>
      <c r="CC44" s="5" t="s">
        <v>197</v>
      </c>
      <c r="CD44" s="1" t="s">
        <v>160</v>
      </c>
    </row>
    <row r="45" spans="1:84" s="1" customFormat="1" ht="14.5" x14ac:dyDescent="0.35">
      <c r="A45">
        <v>61</v>
      </c>
      <c r="B45" s="352"/>
      <c r="C45" s="123">
        <v>46091.503703703704</v>
      </c>
      <c r="D45" s="5" t="s">
        <v>676</v>
      </c>
      <c r="E45" s="178"/>
      <c r="F45" s="100" t="s">
        <v>12</v>
      </c>
      <c r="G45" s="5" t="s">
        <v>13</v>
      </c>
      <c r="H45" s="5" t="s">
        <v>16</v>
      </c>
      <c r="I45" s="101">
        <v>1</v>
      </c>
      <c r="J45" s="5" t="s">
        <v>171</v>
      </c>
      <c r="K45" s="5" t="s">
        <v>158</v>
      </c>
      <c r="L45" s="5" t="s">
        <v>159</v>
      </c>
      <c r="M45" s="5"/>
      <c r="N45" s="5"/>
      <c r="O45" s="5"/>
      <c r="P45" s="5"/>
      <c r="Q45" s="5"/>
      <c r="R45" s="5" t="s">
        <v>106</v>
      </c>
      <c r="S45" s="5"/>
      <c r="T45" s="5" t="s">
        <v>108</v>
      </c>
      <c r="U45" s="5" t="s">
        <v>109</v>
      </c>
      <c r="V45" s="5"/>
      <c r="W45" s="5"/>
      <c r="X45" s="5"/>
      <c r="Y45" s="5"/>
      <c r="Z45" s="5"/>
      <c r="AA45" s="5"/>
      <c r="AB45" s="5" t="s">
        <v>182</v>
      </c>
      <c r="AC45" s="5"/>
      <c r="AD45" s="5" t="s">
        <v>165</v>
      </c>
      <c r="AE45" s="5" t="s">
        <v>160</v>
      </c>
      <c r="AF45" s="5" t="s">
        <v>119</v>
      </c>
      <c r="AG45" s="5" t="s">
        <v>160</v>
      </c>
      <c r="AH45" s="5"/>
      <c r="AI45" s="5" t="s">
        <v>122</v>
      </c>
      <c r="AJ45" s="5" t="s">
        <v>160</v>
      </c>
      <c r="AK45" s="5" t="s">
        <v>124</v>
      </c>
      <c r="AL45" s="5" t="s">
        <v>160</v>
      </c>
      <c r="AM45" s="5"/>
      <c r="AN45" s="5"/>
      <c r="AO45" s="5"/>
      <c r="AP45" s="5"/>
      <c r="AQ45" s="5"/>
      <c r="AR45" s="5"/>
      <c r="AS45" s="5" t="s">
        <v>130</v>
      </c>
      <c r="AT45" s="5" t="s">
        <v>160</v>
      </c>
      <c r="AU45" s="5"/>
      <c r="AV45" s="5"/>
      <c r="AW45" s="5"/>
      <c r="AX45" s="5"/>
      <c r="AY45" s="5" t="s">
        <v>134</v>
      </c>
      <c r="AZ45" s="5"/>
      <c r="BA45" s="5" t="s">
        <v>121</v>
      </c>
      <c r="BB45" s="5" t="s">
        <v>136</v>
      </c>
      <c r="BC45" s="5" t="s">
        <v>137</v>
      </c>
      <c r="BD45" s="5" t="s">
        <v>138</v>
      </c>
      <c r="BE45" s="5" t="s">
        <v>139</v>
      </c>
      <c r="BF45" s="5" t="s">
        <v>160</v>
      </c>
      <c r="BG45" s="5"/>
      <c r="BH45" s="5"/>
      <c r="BI45" s="5"/>
      <c r="BJ45" s="5"/>
      <c r="BK45" s="5" t="s">
        <v>142</v>
      </c>
      <c r="BL45" s="5" t="s">
        <v>143</v>
      </c>
      <c r="BM45" s="5" t="s">
        <v>144</v>
      </c>
      <c r="BN45" s="5"/>
      <c r="BO45" s="5"/>
      <c r="BP45" s="5"/>
      <c r="BQ45" s="5" t="s">
        <v>174</v>
      </c>
      <c r="BR45" s="5"/>
      <c r="BS45" s="5" t="s">
        <v>148</v>
      </c>
      <c r="BT45" s="5"/>
      <c r="BU45" s="5"/>
      <c r="BV45" s="5"/>
      <c r="BW45" s="5"/>
      <c r="BX45" s="5" t="s">
        <v>166</v>
      </c>
      <c r="BY45" s="5" t="s">
        <v>167</v>
      </c>
      <c r="BZ45" s="5" t="s">
        <v>168</v>
      </c>
      <c r="CA45" s="5" t="s">
        <v>170</v>
      </c>
      <c r="CB45" s="5"/>
      <c r="CC45" s="5" t="s">
        <v>170</v>
      </c>
      <c r="CD45" s="1" t="s">
        <v>160</v>
      </c>
    </row>
    <row r="46" spans="1:84" s="1" customFormat="1" ht="14.5" x14ac:dyDescent="0.35">
      <c r="A46">
        <v>60</v>
      </c>
      <c r="B46" s="352"/>
      <c r="C46" s="123">
        <v>46090.648865740739</v>
      </c>
      <c r="D46" s="5" t="s">
        <v>677</v>
      </c>
      <c r="E46" s="235" t="s">
        <v>807</v>
      </c>
      <c r="F46" s="100" t="s">
        <v>30</v>
      </c>
      <c r="G46" s="5" t="s">
        <v>31</v>
      </c>
      <c r="H46" s="5" t="s">
        <v>16</v>
      </c>
      <c r="I46" s="101" t="s">
        <v>32</v>
      </c>
      <c r="J46" s="5" t="s">
        <v>157</v>
      </c>
      <c r="K46" s="5" t="s">
        <v>191</v>
      </c>
      <c r="L46" s="5" t="s">
        <v>181</v>
      </c>
      <c r="M46" s="5"/>
      <c r="N46" s="5"/>
      <c r="O46" s="5"/>
      <c r="P46" s="5"/>
      <c r="Q46" s="5"/>
      <c r="R46" s="5"/>
      <c r="S46" s="5"/>
      <c r="T46" s="5" t="s">
        <v>108</v>
      </c>
      <c r="U46" s="5" t="s">
        <v>109</v>
      </c>
      <c r="V46" s="5" t="s">
        <v>110</v>
      </c>
      <c r="W46" s="5"/>
      <c r="X46" s="5"/>
      <c r="Y46" s="5"/>
      <c r="Z46" s="5"/>
      <c r="AA46" s="5"/>
      <c r="AB46" s="5" t="s">
        <v>161</v>
      </c>
      <c r="AC46" s="5"/>
      <c r="AD46" s="5" t="s">
        <v>162</v>
      </c>
      <c r="AE46" s="5" t="s">
        <v>118</v>
      </c>
      <c r="AF46" s="5" t="s">
        <v>160</v>
      </c>
      <c r="AG46" s="5"/>
      <c r="AH46" s="5"/>
      <c r="AI46" s="5" t="s">
        <v>122</v>
      </c>
      <c r="AJ46" s="5" t="s">
        <v>160</v>
      </c>
      <c r="AK46" s="5" t="s">
        <v>124</v>
      </c>
      <c r="AL46" s="5" t="s">
        <v>160</v>
      </c>
      <c r="AM46" s="5"/>
      <c r="AN46" s="5"/>
      <c r="AO46" s="5"/>
      <c r="AP46" s="5" t="s">
        <v>127</v>
      </c>
      <c r="AQ46" s="5" t="s">
        <v>128</v>
      </c>
      <c r="AR46" s="5" t="s">
        <v>129</v>
      </c>
      <c r="AS46" s="5" t="s">
        <v>130</v>
      </c>
      <c r="AT46" s="5" t="s">
        <v>131</v>
      </c>
      <c r="AU46" s="5" t="s">
        <v>160</v>
      </c>
      <c r="AV46" s="5"/>
      <c r="AW46" s="5"/>
      <c r="AX46" s="5" t="s">
        <v>133</v>
      </c>
      <c r="AY46" s="5" t="s">
        <v>134</v>
      </c>
      <c r="AZ46" s="5" t="s">
        <v>135</v>
      </c>
      <c r="BA46" s="5" t="s">
        <v>121</v>
      </c>
      <c r="BB46" s="5" t="s">
        <v>136</v>
      </c>
      <c r="BC46" s="5" t="s">
        <v>137</v>
      </c>
      <c r="BD46" s="5" t="s">
        <v>138</v>
      </c>
      <c r="BE46" s="5"/>
      <c r="BF46" s="5" t="s">
        <v>140</v>
      </c>
      <c r="BG46" s="5" t="s">
        <v>141</v>
      </c>
      <c r="BH46" s="5"/>
      <c r="BI46" s="5"/>
      <c r="BJ46" s="5"/>
      <c r="BK46" s="5" t="s">
        <v>142</v>
      </c>
      <c r="BL46" s="5" t="s">
        <v>143</v>
      </c>
      <c r="BM46" s="5" t="s">
        <v>144</v>
      </c>
      <c r="BN46" s="5"/>
      <c r="BO46" s="5"/>
      <c r="BP46" s="5"/>
      <c r="BQ46" s="5" t="s">
        <v>165</v>
      </c>
      <c r="BR46" s="5" t="s">
        <v>147</v>
      </c>
      <c r="BS46" s="5"/>
      <c r="BT46" s="5" t="s">
        <v>149</v>
      </c>
      <c r="BU46" s="5" t="s">
        <v>150</v>
      </c>
      <c r="BV46" s="5"/>
      <c r="BW46" s="5"/>
      <c r="BX46" s="5" t="s">
        <v>176</v>
      </c>
      <c r="BY46" s="5" t="s">
        <v>167</v>
      </c>
      <c r="BZ46" s="5" t="s">
        <v>178</v>
      </c>
      <c r="CA46" s="5" t="s">
        <v>170</v>
      </c>
      <c r="CB46" s="5"/>
      <c r="CC46" s="5" t="s">
        <v>170</v>
      </c>
      <c r="CD46" s="1" t="s">
        <v>160</v>
      </c>
    </row>
    <row r="47" spans="1:84" s="1" customFormat="1" ht="14.5" x14ac:dyDescent="0.35">
      <c r="A47">
        <v>59</v>
      </c>
      <c r="B47" s="352"/>
      <c r="C47" s="123">
        <v>46090.488287037035</v>
      </c>
      <c r="D47" s="5" t="s">
        <v>678</v>
      </c>
      <c r="E47" s="235" t="s">
        <v>808</v>
      </c>
      <c r="F47" s="100" t="s">
        <v>24</v>
      </c>
      <c r="G47" s="5" t="s">
        <v>13</v>
      </c>
      <c r="H47" s="5" t="s">
        <v>50</v>
      </c>
      <c r="I47" s="102">
        <v>1</v>
      </c>
      <c r="J47" s="5" t="s">
        <v>180</v>
      </c>
      <c r="K47" s="5" t="s">
        <v>158</v>
      </c>
      <c r="L47" s="5" t="s">
        <v>181</v>
      </c>
      <c r="M47" s="5"/>
      <c r="N47" s="5"/>
      <c r="O47" s="5"/>
      <c r="P47" s="5"/>
      <c r="Q47" s="5"/>
      <c r="R47" s="5" t="s">
        <v>106</v>
      </c>
      <c r="S47" s="5"/>
      <c r="T47" s="5" t="s">
        <v>108</v>
      </c>
      <c r="U47" s="5" t="s">
        <v>109</v>
      </c>
      <c r="V47" s="5"/>
      <c r="W47" s="5"/>
      <c r="X47" s="5"/>
      <c r="Y47" s="5"/>
      <c r="Z47" s="5"/>
      <c r="AA47" s="5"/>
      <c r="AB47" s="5" t="s">
        <v>182</v>
      </c>
      <c r="AC47" s="5"/>
      <c r="AD47" s="5" t="s">
        <v>185</v>
      </c>
      <c r="AE47" s="5" t="s">
        <v>118</v>
      </c>
      <c r="AF47" s="5" t="s">
        <v>160</v>
      </c>
      <c r="AG47" s="5" t="s">
        <v>120</v>
      </c>
      <c r="AH47" s="5" t="s">
        <v>160</v>
      </c>
      <c r="AI47" s="5" t="s">
        <v>122</v>
      </c>
      <c r="AJ47" s="5" t="s">
        <v>160</v>
      </c>
      <c r="AK47" s="5"/>
      <c r="AL47" s="5"/>
      <c r="AM47" s="5"/>
      <c r="AN47" s="5"/>
      <c r="AO47" s="5"/>
      <c r="AP47" s="5"/>
      <c r="AQ47" s="5"/>
      <c r="AR47" s="5"/>
      <c r="AS47" s="5"/>
      <c r="AT47" s="5"/>
      <c r="AU47" s="5"/>
      <c r="AV47" s="5" t="s">
        <v>132</v>
      </c>
      <c r="AW47" s="5" t="s">
        <v>160</v>
      </c>
      <c r="AX47" s="5"/>
      <c r="AY47" s="5"/>
      <c r="AZ47" s="5"/>
      <c r="BA47" s="5" t="s">
        <v>121</v>
      </c>
      <c r="BB47" s="5"/>
      <c r="BC47" s="5" t="s">
        <v>137</v>
      </c>
      <c r="BD47" s="5" t="s">
        <v>138</v>
      </c>
      <c r="BE47" s="5" t="s">
        <v>139</v>
      </c>
      <c r="BF47" s="5"/>
      <c r="BG47" s="5"/>
      <c r="BH47" s="5"/>
      <c r="BI47" s="5"/>
      <c r="BJ47" s="5"/>
      <c r="BK47" s="5" t="s">
        <v>142</v>
      </c>
      <c r="BL47" s="5" t="s">
        <v>143</v>
      </c>
      <c r="BM47" s="5"/>
      <c r="BN47" s="5"/>
      <c r="BO47" s="5"/>
      <c r="BP47" s="5"/>
      <c r="BQ47" s="5" t="s">
        <v>174</v>
      </c>
      <c r="BR47" s="5"/>
      <c r="BS47" s="5"/>
      <c r="BT47" s="5" t="s">
        <v>149</v>
      </c>
      <c r="BU47" s="5"/>
      <c r="BV47" s="5"/>
      <c r="BW47" s="5"/>
      <c r="BX47" s="5" t="s">
        <v>186</v>
      </c>
      <c r="BY47" s="5" t="s">
        <v>167</v>
      </c>
      <c r="BZ47" s="5" t="s">
        <v>168</v>
      </c>
      <c r="CA47" s="5" t="s">
        <v>169</v>
      </c>
      <c r="CB47" s="5"/>
      <c r="CC47" s="5" t="s">
        <v>169</v>
      </c>
    </row>
    <row r="48" spans="1:84" s="205" customFormat="1" ht="14.5" x14ac:dyDescent="0.35">
      <c r="A48" s="180">
        <v>58</v>
      </c>
      <c r="B48" s="352"/>
      <c r="C48" s="206">
        <v>46086.534791666665</v>
      </c>
      <c r="D48" s="184" t="s">
        <v>679</v>
      </c>
      <c r="E48" s="235" t="s">
        <v>809</v>
      </c>
      <c r="F48" s="183" t="s">
        <v>24</v>
      </c>
      <c r="G48" s="184" t="s">
        <v>13</v>
      </c>
      <c r="H48" s="184" t="s">
        <v>68</v>
      </c>
      <c r="I48" s="185">
        <v>1</v>
      </c>
      <c r="J48" s="184" t="s">
        <v>157</v>
      </c>
      <c r="K48" s="184" t="s">
        <v>191</v>
      </c>
      <c r="L48" s="184" t="s">
        <v>159</v>
      </c>
      <c r="M48" s="184"/>
      <c r="N48" s="184"/>
      <c r="O48" s="184"/>
      <c r="P48" s="184"/>
      <c r="Q48" s="184"/>
      <c r="R48" s="184"/>
      <c r="S48" s="184"/>
      <c r="T48" s="184"/>
      <c r="U48" s="184" t="s">
        <v>109</v>
      </c>
      <c r="V48" s="184"/>
      <c r="W48" s="184"/>
      <c r="X48" s="184"/>
      <c r="Y48" s="184"/>
      <c r="Z48" s="184"/>
      <c r="AA48" s="184"/>
      <c r="AB48" s="184" t="s">
        <v>161</v>
      </c>
      <c r="AC48" s="184"/>
      <c r="AD48" s="184" t="s">
        <v>162</v>
      </c>
      <c r="AE48" s="184"/>
      <c r="AF48" s="184"/>
      <c r="AG48" s="184"/>
      <c r="AH48" s="184"/>
      <c r="AI48" s="184" t="s">
        <v>122</v>
      </c>
      <c r="AJ48" s="184" t="s">
        <v>160</v>
      </c>
      <c r="AK48" s="184" t="s">
        <v>124</v>
      </c>
      <c r="AL48" s="184" t="s">
        <v>160</v>
      </c>
      <c r="AM48" s="184"/>
      <c r="AN48" s="184"/>
      <c r="AO48" s="184"/>
      <c r="AP48" s="184"/>
      <c r="AQ48" s="184"/>
      <c r="AR48" s="184"/>
      <c r="AS48" s="184" t="s">
        <v>130</v>
      </c>
      <c r="AT48" s="184" t="s">
        <v>131</v>
      </c>
      <c r="AU48" s="184" t="s">
        <v>160</v>
      </c>
      <c r="AV48" s="184"/>
      <c r="AW48" s="184"/>
      <c r="AX48" s="184"/>
      <c r="AY48" s="184"/>
      <c r="AZ48" s="184" t="s">
        <v>135</v>
      </c>
      <c r="BA48" s="184" t="s">
        <v>121</v>
      </c>
      <c r="BB48" s="184" t="s">
        <v>136</v>
      </c>
      <c r="BC48" s="184" t="s">
        <v>137</v>
      </c>
      <c r="BD48" s="184" t="s">
        <v>138</v>
      </c>
      <c r="BE48" s="184" t="s">
        <v>139</v>
      </c>
      <c r="BF48" s="184" t="s">
        <v>140</v>
      </c>
      <c r="BG48" s="184" t="s">
        <v>141</v>
      </c>
      <c r="BH48" s="184"/>
      <c r="BI48" s="184"/>
      <c r="BJ48" s="184"/>
      <c r="BK48" s="184" t="s">
        <v>142</v>
      </c>
      <c r="BL48" s="184" t="s">
        <v>143</v>
      </c>
      <c r="BM48" s="184" t="s">
        <v>144</v>
      </c>
      <c r="BN48" s="184"/>
      <c r="BO48" s="184"/>
      <c r="BP48" s="184"/>
      <c r="BQ48" s="184" t="s">
        <v>178</v>
      </c>
      <c r="BR48" s="184" t="s">
        <v>147</v>
      </c>
      <c r="BS48" s="184"/>
      <c r="BT48" s="184" t="s">
        <v>149</v>
      </c>
      <c r="BU48" s="184"/>
      <c r="BV48" s="184"/>
      <c r="BW48" s="184"/>
      <c r="BX48" s="184" t="s">
        <v>176</v>
      </c>
      <c r="BY48" s="184" t="s">
        <v>167</v>
      </c>
      <c r="BZ48" s="184" t="s">
        <v>168</v>
      </c>
      <c r="CA48" s="184" t="s">
        <v>170</v>
      </c>
      <c r="CB48" s="184"/>
      <c r="CC48" s="184" t="s">
        <v>170</v>
      </c>
      <c r="CD48" s="205" t="s">
        <v>160</v>
      </c>
    </row>
    <row r="49" spans="1:82" s="205" customFormat="1" thickBot="1" x14ac:dyDescent="0.4">
      <c r="A49" s="180">
        <v>57</v>
      </c>
      <c r="B49" s="352"/>
      <c r="C49" s="201">
        <v>46085.429965277777</v>
      </c>
      <c r="D49" s="202" t="s">
        <v>680</v>
      </c>
      <c r="E49" s="235" t="s">
        <v>810</v>
      </c>
      <c r="F49" s="203" t="s">
        <v>49</v>
      </c>
      <c r="G49" s="202" t="s">
        <v>13</v>
      </c>
      <c r="H49" s="202" t="s">
        <v>29</v>
      </c>
      <c r="I49" s="204" t="s">
        <v>27</v>
      </c>
      <c r="J49" s="202" t="s">
        <v>180</v>
      </c>
      <c r="K49" s="202" t="s">
        <v>158</v>
      </c>
      <c r="L49" s="202" t="s">
        <v>173</v>
      </c>
      <c r="M49" s="202"/>
      <c r="N49" s="202"/>
      <c r="O49" s="202"/>
      <c r="P49" s="202" t="s">
        <v>104</v>
      </c>
      <c r="Q49" s="202"/>
      <c r="R49" s="202"/>
      <c r="S49" s="202"/>
      <c r="T49" s="202"/>
      <c r="U49" s="202"/>
      <c r="V49" s="202"/>
      <c r="W49" s="202"/>
      <c r="X49" s="202"/>
      <c r="Y49" s="202"/>
      <c r="Z49" s="202"/>
      <c r="AA49" s="202"/>
      <c r="AB49" s="202" t="s">
        <v>161</v>
      </c>
      <c r="AC49" s="202"/>
      <c r="AD49" s="202" t="s">
        <v>162</v>
      </c>
      <c r="AE49" s="202"/>
      <c r="AF49" s="202"/>
      <c r="AG49" s="202" t="s">
        <v>120</v>
      </c>
      <c r="AH49" s="202" t="s">
        <v>160</v>
      </c>
      <c r="AI49" s="202"/>
      <c r="AJ49" s="202"/>
      <c r="AK49" s="202" t="s">
        <v>124</v>
      </c>
      <c r="AL49" s="202" t="s">
        <v>160</v>
      </c>
      <c r="AM49" s="202"/>
      <c r="AN49" s="202"/>
      <c r="AO49" s="202"/>
      <c r="AP49" s="202" t="s">
        <v>127</v>
      </c>
      <c r="AQ49" s="202"/>
      <c r="AR49" s="202" t="s">
        <v>129</v>
      </c>
      <c r="AS49" s="202" t="s">
        <v>160</v>
      </c>
      <c r="AT49" s="202" t="s">
        <v>131</v>
      </c>
      <c r="AU49" s="202" t="s">
        <v>160</v>
      </c>
      <c r="AV49" s="202"/>
      <c r="AW49" s="202"/>
      <c r="AX49" s="202"/>
      <c r="AY49" s="202" t="s">
        <v>134</v>
      </c>
      <c r="AZ49" s="202"/>
      <c r="BA49" s="202"/>
      <c r="BB49" s="202" t="s">
        <v>136</v>
      </c>
      <c r="BC49" s="202"/>
      <c r="BD49" s="202"/>
      <c r="BE49" s="202" t="s">
        <v>139</v>
      </c>
      <c r="BF49" s="202"/>
      <c r="BG49" s="202"/>
      <c r="BH49" s="202"/>
      <c r="BI49" s="202"/>
      <c r="BJ49" s="202"/>
      <c r="BK49" s="202" t="s">
        <v>142</v>
      </c>
      <c r="BL49" s="202" t="s">
        <v>143</v>
      </c>
      <c r="BM49" s="202" t="s">
        <v>144</v>
      </c>
      <c r="BN49" s="202"/>
      <c r="BO49" s="202"/>
      <c r="BP49" s="202"/>
      <c r="BQ49" s="202" t="s">
        <v>165</v>
      </c>
      <c r="BR49" s="202"/>
      <c r="BS49" s="202"/>
      <c r="BT49" s="202"/>
      <c r="BU49" s="202" t="s">
        <v>150</v>
      </c>
      <c r="BV49" s="202"/>
      <c r="BW49" s="202"/>
      <c r="BX49" s="202" t="s">
        <v>186</v>
      </c>
      <c r="BY49" s="202" t="s">
        <v>167</v>
      </c>
      <c r="BZ49" s="202" t="s">
        <v>178</v>
      </c>
      <c r="CA49" s="202" t="s">
        <v>170</v>
      </c>
      <c r="CB49" s="202"/>
      <c r="CC49" s="202" t="s">
        <v>169</v>
      </c>
    </row>
    <row r="50" spans="1:82" s="205" customFormat="1" ht="14.5" x14ac:dyDescent="0.35">
      <c r="A50" s="191">
        <v>56</v>
      </c>
      <c r="B50" s="348">
        <v>46054</v>
      </c>
      <c r="C50" s="211">
        <v>46076.635416666664</v>
      </c>
      <c r="D50" s="191" t="s">
        <v>681</v>
      </c>
      <c r="E50" s="231"/>
      <c r="F50" s="190" t="s">
        <v>30</v>
      </c>
      <c r="G50" s="191" t="s">
        <v>31</v>
      </c>
      <c r="H50" s="191" t="s">
        <v>44</v>
      </c>
      <c r="I50" s="192" t="s">
        <v>27</v>
      </c>
      <c r="J50" s="191" t="s">
        <v>171</v>
      </c>
      <c r="K50" s="191" t="s">
        <v>158</v>
      </c>
      <c r="L50" s="212" t="s">
        <v>173</v>
      </c>
      <c r="M50" s="213"/>
      <c r="N50" s="213"/>
      <c r="O50" s="213"/>
      <c r="P50" s="213"/>
      <c r="Q50" s="213"/>
      <c r="R50" s="213"/>
      <c r="S50" s="213"/>
      <c r="T50" s="212" t="s">
        <v>108</v>
      </c>
      <c r="U50" s="212" t="s">
        <v>109</v>
      </c>
      <c r="V50" s="213"/>
      <c r="W50" s="213"/>
      <c r="X50" s="213"/>
      <c r="Y50" s="213"/>
      <c r="Z50" s="213"/>
      <c r="AA50" s="213"/>
      <c r="AB50" s="212" t="s">
        <v>161</v>
      </c>
      <c r="AC50" s="213"/>
      <c r="AD50" s="214" t="s">
        <v>162</v>
      </c>
      <c r="AE50" s="191" t="s">
        <v>118</v>
      </c>
      <c r="AF50" s="213" t="s">
        <v>160</v>
      </c>
      <c r="AG50" s="213"/>
      <c r="AH50" s="213"/>
      <c r="AI50" s="212" t="s">
        <v>122</v>
      </c>
      <c r="AJ50" s="212" t="s">
        <v>123</v>
      </c>
      <c r="AK50" s="213"/>
      <c r="AL50" s="213"/>
      <c r="AM50" s="213"/>
      <c r="AN50" s="213"/>
      <c r="AO50" s="213"/>
      <c r="AP50" s="191" t="s">
        <v>127</v>
      </c>
      <c r="AQ50" s="191" t="s">
        <v>128</v>
      </c>
      <c r="AR50" s="191" t="s">
        <v>129</v>
      </c>
      <c r="AS50" s="191" t="s">
        <v>130</v>
      </c>
      <c r="AT50" s="191" t="s">
        <v>131</v>
      </c>
      <c r="AU50" s="213" t="s">
        <v>160</v>
      </c>
      <c r="AV50" s="213"/>
      <c r="AW50" s="213"/>
      <c r="AX50" s="191" t="s">
        <v>133</v>
      </c>
      <c r="AY50" s="191" t="s">
        <v>134</v>
      </c>
      <c r="AZ50" s="191" t="s">
        <v>135</v>
      </c>
      <c r="BA50" s="191" t="s">
        <v>121</v>
      </c>
      <c r="BB50" s="191" t="s">
        <v>136</v>
      </c>
      <c r="BC50" s="213" t="s">
        <v>160</v>
      </c>
      <c r="BD50" s="191" t="s">
        <v>138</v>
      </c>
      <c r="BE50" s="191" t="s">
        <v>139</v>
      </c>
      <c r="BF50" s="191" t="s">
        <v>140</v>
      </c>
      <c r="BG50" s="213" t="s">
        <v>160</v>
      </c>
      <c r="BH50" s="213"/>
      <c r="BI50" s="213"/>
      <c r="BJ50" s="213"/>
      <c r="BK50" s="191" t="s">
        <v>142</v>
      </c>
      <c r="BL50" s="191" t="s">
        <v>143</v>
      </c>
      <c r="BM50" s="191" t="s">
        <v>144</v>
      </c>
      <c r="BN50" s="213" t="s">
        <v>160</v>
      </c>
      <c r="BO50" s="215" t="s">
        <v>113</v>
      </c>
      <c r="BP50" s="200" t="s">
        <v>233</v>
      </c>
      <c r="BQ50" s="191" t="s">
        <v>178</v>
      </c>
      <c r="BR50" s="191" t="s">
        <v>147</v>
      </c>
      <c r="BS50" s="213" t="s">
        <v>160</v>
      </c>
      <c r="BT50" s="191" t="s">
        <v>149</v>
      </c>
      <c r="BU50" s="191" t="s">
        <v>150</v>
      </c>
      <c r="BV50" s="191" t="s">
        <v>113</v>
      </c>
      <c r="BW50" s="191" t="s">
        <v>234</v>
      </c>
      <c r="BX50" s="191" t="s">
        <v>166</v>
      </c>
      <c r="BY50" s="191" t="s">
        <v>177</v>
      </c>
      <c r="BZ50" s="191" t="s">
        <v>168</v>
      </c>
      <c r="CA50" s="191" t="s">
        <v>169</v>
      </c>
      <c r="CB50" s="191" t="s">
        <v>235</v>
      </c>
      <c r="CC50" s="191" t="s">
        <v>169</v>
      </c>
    </row>
    <row r="51" spans="1:82" s="1" customFormat="1" ht="14.5" x14ac:dyDescent="0.35">
      <c r="A51" s="5">
        <v>55</v>
      </c>
      <c r="B51" s="349"/>
      <c r="C51" s="123">
        <v>46077.572222222225</v>
      </c>
      <c r="D51" s="5" t="s">
        <v>682</v>
      </c>
      <c r="E51" s="236" t="s">
        <v>811</v>
      </c>
      <c r="F51" s="100" t="s">
        <v>30</v>
      </c>
      <c r="G51" s="5" t="s">
        <v>31</v>
      </c>
      <c r="H51" s="5" t="s">
        <v>16</v>
      </c>
      <c r="I51" s="101" t="s">
        <v>32</v>
      </c>
      <c r="J51" s="5" t="s">
        <v>180</v>
      </c>
      <c r="K51" s="5" t="s">
        <v>158</v>
      </c>
      <c r="L51" s="154" t="s">
        <v>181</v>
      </c>
      <c r="M51" s="179"/>
      <c r="N51" s="179"/>
      <c r="O51" s="5" t="s">
        <v>103</v>
      </c>
      <c r="P51" s="179"/>
      <c r="Q51" s="179"/>
      <c r="R51" s="179"/>
      <c r="S51" s="179"/>
      <c r="T51" s="154" t="s">
        <v>108</v>
      </c>
      <c r="U51" s="154" t="s">
        <v>109</v>
      </c>
      <c r="V51" s="179"/>
      <c r="W51" s="179"/>
      <c r="X51" s="179"/>
      <c r="Y51" s="179"/>
      <c r="Z51" s="179"/>
      <c r="AA51" s="179"/>
      <c r="AB51" s="154" t="s">
        <v>161</v>
      </c>
      <c r="AC51" s="179"/>
      <c r="AD51" s="154" t="s">
        <v>165</v>
      </c>
      <c r="AE51" s="179"/>
      <c r="AF51" s="179"/>
      <c r="AG51" s="154" t="s">
        <v>120</v>
      </c>
      <c r="AH51" s="179"/>
      <c r="AI51" s="154" t="s">
        <v>122</v>
      </c>
      <c r="AJ51" s="179" t="s">
        <v>160</v>
      </c>
      <c r="AK51" s="154" t="s">
        <v>124</v>
      </c>
      <c r="AL51" s="179"/>
      <c r="AM51" s="179"/>
      <c r="AN51" s="179"/>
      <c r="AO51" s="179"/>
      <c r="AP51" s="5" t="s">
        <v>127</v>
      </c>
      <c r="AQ51" s="5" t="s">
        <v>128</v>
      </c>
      <c r="AR51" s="5" t="s">
        <v>129</v>
      </c>
      <c r="AS51" s="5" t="s">
        <v>130</v>
      </c>
      <c r="AT51" s="5" t="s">
        <v>131</v>
      </c>
      <c r="AU51" s="179" t="s">
        <v>160</v>
      </c>
      <c r="AV51" s="179"/>
      <c r="AW51" s="179"/>
      <c r="AX51" s="179"/>
      <c r="AY51" s="179"/>
      <c r="AZ51" s="179"/>
      <c r="BA51" s="179"/>
      <c r="BB51" s="179"/>
      <c r="BC51" s="179"/>
      <c r="BD51" s="5" t="s">
        <v>138</v>
      </c>
      <c r="BE51" s="179" t="s">
        <v>160</v>
      </c>
      <c r="BF51" s="179"/>
      <c r="BG51" s="179"/>
      <c r="BH51" s="179"/>
      <c r="BI51" s="179"/>
      <c r="BJ51" s="179"/>
      <c r="BK51" s="5" t="s">
        <v>142</v>
      </c>
      <c r="BL51" s="179" t="s">
        <v>160</v>
      </c>
      <c r="BM51" s="179"/>
      <c r="BN51" s="179"/>
      <c r="BO51" s="179"/>
      <c r="BP51" s="179"/>
      <c r="BQ51" s="5" t="s">
        <v>174</v>
      </c>
      <c r="BR51" s="179"/>
      <c r="BS51" s="179"/>
      <c r="BT51" s="179"/>
      <c r="BU51" s="5" t="s">
        <v>150</v>
      </c>
      <c r="BV51" s="5"/>
      <c r="BW51" s="5"/>
      <c r="BX51" s="5" t="s">
        <v>186</v>
      </c>
      <c r="BY51" s="5" t="s">
        <v>174</v>
      </c>
      <c r="BZ51" s="5" t="s">
        <v>168</v>
      </c>
      <c r="CA51" s="5" t="s">
        <v>169</v>
      </c>
      <c r="CB51" s="5"/>
      <c r="CC51" s="5" t="s">
        <v>169</v>
      </c>
    </row>
    <row r="52" spans="1:82" s="1" customFormat="1" ht="14.5" x14ac:dyDescent="0.35">
      <c r="A52" s="5">
        <v>54</v>
      </c>
      <c r="B52" s="349"/>
      <c r="C52" s="123">
        <v>46078.436805555553</v>
      </c>
      <c r="D52" s="5" t="s">
        <v>683</v>
      </c>
      <c r="E52" s="236" t="s">
        <v>812</v>
      </c>
      <c r="F52" s="100" t="s">
        <v>30</v>
      </c>
      <c r="G52" s="5" t="s">
        <v>31</v>
      </c>
      <c r="H52" s="5" t="s">
        <v>53</v>
      </c>
      <c r="I52" s="101" t="s">
        <v>32</v>
      </c>
      <c r="J52" s="5" t="s">
        <v>184</v>
      </c>
      <c r="K52" s="5" t="s">
        <v>172</v>
      </c>
      <c r="L52" s="154" t="s">
        <v>181</v>
      </c>
      <c r="M52" s="178"/>
      <c r="N52" s="178"/>
      <c r="O52" s="178"/>
      <c r="P52" s="178"/>
      <c r="Q52" s="178"/>
      <c r="R52" s="178"/>
      <c r="S52" s="178"/>
      <c r="T52" s="154" t="s">
        <v>108</v>
      </c>
      <c r="U52" s="178"/>
      <c r="V52" s="178"/>
      <c r="W52" s="178"/>
      <c r="X52" s="178"/>
      <c r="Y52" s="178"/>
      <c r="Z52" s="178"/>
      <c r="AA52" s="178"/>
      <c r="AB52" s="154" t="s">
        <v>161</v>
      </c>
      <c r="AC52" s="178"/>
      <c r="AD52" s="154" t="s">
        <v>185</v>
      </c>
      <c r="AE52" s="178"/>
      <c r="AF52" s="178"/>
      <c r="AG52" s="154" t="s">
        <v>120</v>
      </c>
      <c r="AH52" s="178"/>
      <c r="AI52" s="154" t="s">
        <v>122</v>
      </c>
      <c r="AJ52" s="178" t="s">
        <v>160</v>
      </c>
      <c r="AK52" s="178"/>
      <c r="AL52" s="178"/>
      <c r="AM52" s="5" t="s">
        <v>126</v>
      </c>
      <c r="AN52" s="178" t="s">
        <v>160</v>
      </c>
      <c r="AO52" s="178"/>
      <c r="AP52" s="5" t="s">
        <v>127</v>
      </c>
      <c r="AQ52" s="5" t="s">
        <v>128</v>
      </c>
      <c r="AR52" s="5" t="s">
        <v>129</v>
      </c>
      <c r="AS52" s="5" t="s">
        <v>130</v>
      </c>
      <c r="AT52" s="178" t="s">
        <v>160</v>
      </c>
      <c r="AU52" s="178"/>
      <c r="AV52" s="178"/>
      <c r="AW52" s="178"/>
      <c r="AX52" s="178"/>
      <c r="AY52" s="178"/>
      <c r="AZ52" s="178"/>
      <c r="BA52" s="178"/>
      <c r="BB52" s="178"/>
      <c r="BC52" s="178"/>
      <c r="BD52" s="178"/>
      <c r="BE52" s="178"/>
      <c r="BF52" s="178"/>
      <c r="BG52" s="178"/>
      <c r="BH52" s="178"/>
      <c r="BI52" s="5" t="s">
        <v>132</v>
      </c>
      <c r="BJ52" s="178" t="s">
        <v>160</v>
      </c>
      <c r="BK52" s="5" t="s">
        <v>142</v>
      </c>
      <c r="BL52" s="5" t="s">
        <v>143</v>
      </c>
      <c r="BM52" s="178" t="s">
        <v>160</v>
      </c>
      <c r="BN52" s="178"/>
      <c r="BO52" s="178"/>
      <c r="BP52" s="178"/>
      <c r="BQ52" s="5" t="s">
        <v>174</v>
      </c>
      <c r="BR52" s="178"/>
      <c r="BS52" s="5" t="s">
        <v>148</v>
      </c>
      <c r="BT52" s="178" t="s">
        <v>160</v>
      </c>
      <c r="BU52" s="178"/>
      <c r="BV52" s="5" t="s">
        <v>160</v>
      </c>
      <c r="BW52" s="5"/>
      <c r="BX52" s="5" t="s">
        <v>166</v>
      </c>
      <c r="BY52" s="5" t="s">
        <v>177</v>
      </c>
      <c r="BZ52" s="5" t="s">
        <v>178</v>
      </c>
      <c r="CA52" s="5" t="s">
        <v>170</v>
      </c>
      <c r="CB52" s="5" t="s">
        <v>160</v>
      </c>
      <c r="CC52" s="5" t="s">
        <v>170</v>
      </c>
      <c r="CD52" s="1" t="s">
        <v>160</v>
      </c>
    </row>
    <row r="53" spans="1:82" s="1" customFormat="1" ht="14.5" x14ac:dyDescent="0.35">
      <c r="A53" s="5">
        <v>53</v>
      </c>
      <c r="B53" s="349"/>
      <c r="C53" s="123">
        <v>46078.369675925926</v>
      </c>
      <c r="D53" s="5" t="s">
        <v>684</v>
      </c>
      <c r="E53" s="236" t="s">
        <v>813</v>
      </c>
      <c r="F53" s="10" t="s">
        <v>236</v>
      </c>
      <c r="G53" s="5" t="s">
        <v>25</v>
      </c>
      <c r="H53" s="5" t="s">
        <v>16</v>
      </c>
      <c r="I53" s="101" t="s">
        <v>32</v>
      </c>
      <c r="J53" s="5" t="s">
        <v>171</v>
      </c>
      <c r="K53" s="5" t="s">
        <v>158</v>
      </c>
      <c r="L53" s="154" t="s">
        <v>159</v>
      </c>
      <c r="M53" s="154" t="s">
        <v>101</v>
      </c>
      <c r="N53" s="5"/>
      <c r="O53" s="5"/>
      <c r="P53" s="5"/>
      <c r="Q53" s="5"/>
      <c r="R53" s="5"/>
      <c r="S53" s="5"/>
      <c r="T53" s="154" t="s">
        <v>108</v>
      </c>
      <c r="U53" s="154" t="s">
        <v>109</v>
      </c>
      <c r="V53" s="154" t="s">
        <v>160</v>
      </c>
      <c r="W53" s="5"/>
      <c r="X53" s="154"/>
      <c r="Y53" s="5"/>
      <c r="Z53" s="5"/>
      <c r="AA53" s="5"/>
      <c r="AB53" s="154" t="s">
        <v>161</v>
      </c>
      <c r="AC53" s="5"/>
      <c r="AD53" s="154" t="s">
        <v>165</v>
      </c>
      <c r="AE53" s="5" t="s">
        <v>118</v>
      </c>
      <c r="AF53" s="5" t="s">
        <v>160</v>
      </c>
      <c r="AG53" s="154"/>
      <c r="AH53" s="5"/>
      <c r="AI53" s="154" t="s">
        <v>122</v>
      </c>
      <c r="AJ53" s="154" t="s">
        <v>160</v>
      </c>
      <c r="AK53" s="154" t="s">
        <v>124</v>
      </c>
      <c r="AL53" s="5"/>
      <c r="AM53" s="5"/>
      <c r="AN53" s="5"/>
      <c r="AO53" s="5"/>
      <c r="AP53" s="5" t="s">
        <v>127</v>
      </c>
      <c r="AQ53" s="5"/>
      <c r="AR53" s="5" t="s">
        <v>129</v>
      </c>
      <c r="AS53" s="5" t="s">
        <v>130</v>
      </c>
      <c r="AT53" s="5" t="s">
        <v>131</v>
      </c>
      <c r="AU53" s="5" t="s">
        <v>160</v>
      </c>
      <c r="AV53" s="5"/>
      <c r="AW53" s="5"/>
      <c r="AX53" s="5"/>
      <c r="AY53" s="5" t="s">
        <v>134</v>
      </c>
      <c r="AZ53" s="5"/>
      <c r="BA53" s="5" t="s">
        <v>121</v>
      </c>
      <c r="BB53" s="5"/>
      <c r="BC53" s="5"/>
      <c r="BD53" s="5" t="s">
        <v>138</v>
      </c>
      <c r="BE53" s="5" t="s">
        <v>139</v>
      </c>
      <c r="BF53" s="5" t="s">
        <v>160</v>
      </c>
      <c r="BG53" s="5"/>
      <c r="BH53" s="5"/>
      <c r="BI53" s="5"/>
      <c r="BJ53" s="5"/>
      <c r="BK53" s="5"/>
      <c r="BL53" s="5" t="s">
        <v>143</v>
      </c>
      <c r="BM53" s="5" t="s">
        <v>144</v>
      </c>
      <c r="BN53" s="5" t="s">
        <v>160</v>
      </c>
      <c r="BO53" s="5"/>
      <c r="BP53" s="5"/>
      <c r="BQ53" s="5" t="s">
        <v>174</v>
      </c>
      <c r="BR53" s="5"/>
      <c r="BS53" s="5" t="s">
        <v>148</v>
      </c>
      <c r="BT53" s="5" t="s">
        <v>160</v>
      </c>
      <c r="BU53" s="5"/>
      <c r="BV53" s="5" t="s">
        <v>160</v>
      </c>
      <c r="BW53" s="5"/>
      <c r="BX53" s="5" t="s">
        <v>166</v>
      </c>
      <c r="BY53" s="5" t="s">
        <v>177</v>
      </c>
      <c r="BZ53" s="5" t="s">
        <v>178</v>
      </c>
      <c r="CA53" s="5" t="s">
        <v>170</v>
      </c>
      <c r="CB53" s="5" t="s">
        <v>160</v>
      </c>
      <c r="CC53" s="5" t="s">
        <v>170</v>
      </c>
      <c r="CD53" s="1" t="s">
        <v>160</v>
      </c>
    </row>
    <row r="54" spans="1:82" ht="14.5" x14ac:dyDescent="0.35">
      <c r="A54" s="5">
        <v>52</v>
      </c>
      <c r="B54" s="349"/>
      <c r="C54" s="123">
        <v>46077.643414351849</v>
      </c>
      <c r="D54" s="9" t="s">
        <v>685</v>
      </c>
      <c r="E54" s="236" t="s">
        <v>814</v>
      </c>
      <c r="F54" s="10" t="s">
        <v>24</v>
      </c>
      <c r="G54" s="5" t="s">
        <v>31</v>
      </c>
      <c r="H54" s="9" t="s">
        <v>14</v>
      </c>
      <c r="I54" s="11">
        <v>1</v>
      </c>
      <c r="J54" s="5" t="s">
        <v>180</v>
      </c>
      <c r="K54" s="5" t="s">
        <v>158</v>
      </c>
      <c r="L54" s="154" t="s">
        <v>203</v>
      </c>
      <c r="M54" s="154" t="s">
        <v>160</v>
      </c>
      <c r="N54" s="5"/>
      <c r="O54" s="5"/>
      <c r="P54" s="5"/>
      <c r="Q54" s="5"/>
      <c r="R54" s="5"/>
      <c r="S54" s="5"/>
      <c r="T54" s="154"/>
      <c r="U54" s="154"/>
      <c r="V54" s="154" t="s">
        <v>160</v>
      </c>
      <c r="W54" s="5"/>
      <c r="X54" s="154"/>
      <c r="Y54" s="5"/>
      <c r="Z54" s="5" t="s">
        <v>114</v>
      </c>
      <c r="AA54" s="5"/>
      <c r="AB54" s="154" t="s">
        <v>182</v>
      </c>
      <c r="AC54" s="5"/>
      <c r="AD54" s="154" t="s">
        <v>165</v>
      </c>
      <c r="AE54" s="5"/>
      <c r="AF54" s="5"/>
      <c r="AG54" s="154"/>
      <c r="AH54" s="5"/>
      <c r="AI54" s="154" t="s">
        <v>122</v>
      </c>
      <c r="AJ54" s="154" t="s">
        <v>160</v>
      </c>
      <c r="AK54" s="154"/>
      <c r="AL54" s="5"/>
      <c r="AM54" s="5"/>
      <c r="AN54" s="5" t="s">
        <v>113</v>
      </c>
      <c r="AO54" s="5" t="s">
        <v>237</v>
      </c>
      <c r="AP54" s="5" t="s">
        <v>127</v>
      </c>
      <c r="AQ54" s="5" t="s">
        <v>128</v>
      </c>
      <c r="AR54" s="5" t="s">
        <v>160</v>
      </c>
      <c r="AS54" s="5"/>
      <c r="AT54" s="5"/>
      <c r="AU54" s="5"/>
      <c r="AV54" s="5"/>
      <c r="AW54" s="5"/>
      <c r="AX54" s="5"/>
      <c r="AY54" s="5" t="s">
        <v>134</v>
      </c>
      <c r="AZ54" s="5"/>
      <c r="BA54" s="5"/>
      <c r="BB54" s="5"/>
      <c r="BC54" s="5"/>
      <c r="BD54" s="5" t="s">
        <v>138</v>
      </c>
      <c r="BE54" s="5" t="s">
        <v>139</v>
      </c>
      <c r="BF54" s="5" t="s">
        <v>140</v>
      </c>
      <c r="BG54" s="5" t="s">
        <v>141</v>
      </c>
      <c r="BH54" s="5" t="s">
        <v>160</v>
      </c>
      <c r="BI54" s="5"/>
      <c r="BJ54" s="5"/>
      <c r="BK54" s="5" t="s">
        <v>142</v>
      </c>
      <c r="BL54" s="5" t="s">
        <v>160</v>
      </c>
      <c r="BM54" s="5" t="s">
        <v>144</v>
      </c>
      <c r="BN54" s="5" t="s">
        <v>145</v>
      </c>
      <c r="BO54" s="5" t="s">
        <v>160</v>
      </c>
      <c r="BP54" s="5"/>
      <c r="BQ54" s="5" t="s">
        <v>174</v>
      </c>
      <c r="BR54" s="5"/>
      <c r="BS54" s="5"/>
      <c r="BT54" s="5"/>
      <c r="BU54" s="5"/>
      <c r="BV54" s="124"/>
      <c r="BW54" s="124"/>
      <c r="BX54" s="124" t="s">
        <v>186</v>
      </c>
      <c r="BY54" s="124" t="s">
        <v>167</v>
      </c>
      <c r="BZ54" s="124" t="s">
        <v>168</v>
      </c>
      <c r="CA54" s="124" t="s">
        <v>170</v>
      </c>
      <c r="CB54" s="124"/>
      <c r="CC54" s="124" t="s">
        <v>169</v>
      </c>
    </row>
    <row r="55" spans="1:82" ht="14.5" x14ac:dyDescent="0.35">
      <c r="A55" s="5">
        <v>51</v>
      </c>
      <c r="B55" s="349"/>
      <c r="C55" s="123">
        <v>46077.610462962963</v>
      </c>
      <c r="D55" s="9" t="s">
        <v>686</v>
      </c>
      <c r="E55" s="236" t="s">
        <v>812</v>
      </c>
      <c r="F55" s="100" t="s">
        <v>39</v>
      </c>
      <c r="G55" s="5" t="s">
        <v>25</v>
      </c>
      <c r="H55" s="9" t="s">
        <v>44</v>
      </c>
      <c r="I55" s="12" t="s">
        <v>27</v>
      </c>
      <c r="J55" s="5" t="s">
        <v>180</v>
      </c>
      <c r="K55" s="5" t="s">
        <v>191</v>
      </c>
      <c r="L55" s="154" t="s">
        <v>201</v>
      </c>
      <c r="M55" s="154" t="s">
        <v>160</v>
      </c>
      <c r="N55" s="5"/>
      <c r="O55" s="5"/>
      <c r="P55" s="5"/>
      <c r="Q55" s="5"/>
      <c r="R55" s="5"/>
      <c r="S55" s="5"/>
      <c r="T55" s="154"/>
      <c r="U55" s="154"/>
      <c r="V55" s="154" t="s">
        <v>160</v>
      </c>
      <c r="W55" s="5"/>
      <c r="X55" s="154"/>
      <c r="Y55" s="5"/>
      <c r="Z55" s="5" t="s">
        <v>114</v>
      </c>
      <c r="AA55" s="5"/>
      <c r="AB55" s="154" t="s">
        <v>161</v>
      </c>
      <c r="AC55" s="5"/>
      <c r="AD55" s="154" t="s">
        <v>165</v>
      </c>
      <c r="AE55" s="5"/>
      <c r="AF55" s="5"/>
      <c r="AG55" s="154"/>
      <c r="AH55" s="5"/>
      <c r="AI55" s="154" t="s">
        <v>122</v>
      </c>
      <c r="AJ55" s="154" t="s">
        <v>160</v>
      </c>
      <c r="AK55" s="154" t="s">
        <v>124</v>
      </c>
      <c r="AL55" s="5"/>
      <c r="AM55" s="5"/>
      <c r="AN55" s="5"/>
      <c r="AO55" s="5"/>
      <c r="AP55" s="5" t="s">
        <v>127</v>
      </c>
      <c r="AQ55" s="5" t="s">
        <v>128</v>
      </c>
      <c r="AR55" s="5" t="s">
        <v>160</v>
      </c>
      <c r="AS55" s="5" t="s">
        <v>130</v>
      </c>
      <c r="AT55" s="5" t="s">
        <v>131</v>
      </c>
      <c r="AU55" s="5" t="s">
        <v>160</v>
      </c>
      <c r="AV55" s="5"/>
      <c r="AW55" s="5"/>
      <c r="AX55" s="5"/>
      <c r="AY55" s="5" t="s">
        <v>134</v>
      </c>
      <c r="AZ55" s="5"/>
      <c r="BA55" s="5" t="s">
        <v>121</v>
      </c>
      <c r="BB55" s="5" t="s">
        <v>136</v>
      </c>
      <c r="BC55" s="5"/>
      <c r="BD55" s="5" t="s">
        <v>138</v>
      </c>
      <c r="BE55" s="5"/>
      <c r="BF55" s="5" t="s">
        <v>140</v>
      </c>
      <c r="BG55" s="5" t="s">
        <v>141</v>
      </c>
      <c r="BH55" s="5" t="s">
        <v>160</v>
      </c>
      <c r="BI55" s="5"/>
      <c r="BJ55" s="5"/>
      <c r="BK55" s="5" t="s">
        <v>142</v>
      </c>
      <c r="BL55" s="5" t="s">
        <v>160</v>
      </c>
      <c r="BM55" s="5"/>
      <c r="BN55" s="5"/>
      <c r="BO55" s="5"/>
      <c r="BP55" s="5"/>
      <c r="BQ55" s="5" t="s">
        <v>174</v>
      </c>
      <c r="BR55" s="5"/>
      <c r="BS55" s="5"/>
      <c r="BT55" s="5"/>
      <c r="BU55" s="5" t="s">
        <v>150</v>
      </c>
      <c r="BV55" s="124"/>
      <c r="BW55" s="124"/>
      <c r="BX55" s="124" t="s">
        <v>176</v>
      </c>
      <c r="BY55" s="124" t="s">
        <v>177</v>
      </c>
      <c r="BZ55" s="124" t="s">
        <v>165</v>
      </c>
      <c r="CA55" s="124" t="s">
        <v>170</v>
      </c>
      <c r="CB55" s="124"/>
      <c r="CC55" s="124" t="s">
        <v>169</v>
      </c>
    </row>
    <row r="56" spans="1:82" ht="14.5" x14ac:dyDescent="0.35">
      <c r="A56" s="5">
        <v>50</v>
      </c>
      <c r="B56" s="349"/>
      <c r="C56" s="123">
        <v>46076.476018518515</v>
      </c>
      <c r="D56" s="5" t="s">
        <v>687</v>
      </c>
      <c r="E56" s="236" t="s">
        <v>813</v>
      </c>
      <c r="F56" s="100" t="s">
        <v>39</v>
      </c>
      <c r="G56" s="5" t="s">
        <v>13</v>
      </c>
      <c r="H56" s="5" t="s">
        <v>16</v>
      </c>
      <c r="I56" s="101" t="s">
        <v>32</v>
      </c>
      <c r="J56" s="5" t="s">
        <v>171</v>
      </c>
      <c r="K56" s="5" t="s">
        <v>191</v>
      </c>
      <c r="L56" s="154" t="s">
        <v>181</v>
      </c>
      <c r="M56" s="154" t="s">
        <v>160</v>
      </c>
      <c r="N56" s="5"/>
      <c r="O56" s="5"/>
      <c r="P56" s="5" t="s">
        <v>104</v>
      </c>
      <c r="Q56" s="5"/>
      <c r="R56" s="5"/>
      <c r="S56" s="5"/>
      <c r="T56" s="154"/>
      <c r="U56" s="154" t="s">
        <v>109</v>
      </c>
      <c r="V56" s="154" t="s">
        <v>160</v>
      </c>
      <c r="W56" s="5"/>
      <c r="X56" s="154"/>
      <c r="Y56" s="5" t="s">
        <v>113</v>
      </c>
      <c r="Z56" s="5"/>
      <c r="AA56" s="5" t="s">
        <v>238</v>
      </c>
      <c r="AB56" s="154" t="s">
        <v>161</v>
      </c>
      <c r="AC56" s="5"/>
      <c r="AD56" s="154" t="s">
        <v>165</v>
      </c>
      <c r="AE56" s="5" t="s">
        <v>118</v>
      </c>
      <c r="AF56" s="5" t="s">
        <v>160</v>
      </c>
      <c r="AG56" s="154"/>
      <c r="AH56" s="5"/>
      <c r="AI56" s="154" t="s">
        <v>122</v>
      </c>
      <c r="AJ56" s="154" t="s">
        <v>160</v>
      </c>
      <c r="AK56" s="154" t="s">
        <v>124</v>
      </c>
      <c r="AL56" s="5"/>
      <c r="AM56" s="5"/>
      <c r="AN56" s="5"/>
      <c r="AO56" s="5"/>
      <c r="AP56" s="5" t="s">
        <v>127</v>
      </c>
      <c r="AQ56" s="5" t="s">
        <v>128</v>
      </c>
      <c r="AR56" s="5" t="s">
        <v>129</v>
      </c>
      <c r="AS56" s="5" t="s">
        <v>130</v>
      </c>
      <c r="AT56" s="5" t="s">
        <v>160</v>
      </c>
      <c r="AU56" s="5" t="s">
        <v>113</v>
      </c>
      <c r="AV56" s="5"/>
      <c r="AW56" s="5" t="s">
        <v>239</v>
      </c>
      <c r="AX56" s="5" t="s">
        <v>160</v>
      </c>
      <c r="AY56" s="5"/>
      <c r="AZ56" s="5"/>
      <c r="BA56" s="5"/>
      <c r="BB56" s="5" t="s">
        <v>136</v>
      </c>
      <c r="BC56" s="5"/>
      <c r="BD56" s="5" t="s">
        <v>138</v>
      </c>
      <c r="BE56" s="5" t="s">
        <v>139</v>
      </c>
      <c r="BF56" s="5" t="s">
        <v>160</v>
      </c>
      <c r="BG56" s="5"/>
      <c r="BH56" s="5"/>
      <c r="BI56" s="5"/>
      <c r="BJ56" s="5"/>
      <c r="BK56" s="5" t="s">
        <v>142</v>
      </c>
      <c r="BL56" s="5" t="s">
        <v>143</v>
      </c>
      <c r="BM56" s="5" t="s">
        <v>144</v>
      </c>
      <c r="BN56" s="5" t="s">
        <v>160</v>
      </c>
      <c r="BO56" s="5"/>
      <c r="BP56" s="5"/>
      <c r="BQ56" s="5" t="s">
        <v>178</v>
      </c>
      <c r="BR56" s="5" t="s">
        <v>147</v>
      </c>
      <c r="BS56" s="5" t="s">
        <v>160</v>
      </c>
      <c r="BT56" s="5"/>
      <c r="BU56" s="5"/>
      <c r="BV56" s="124"/>
      <c r="BW56" s="124"/>
      <c r="BX56" s="124" t="s">
        <v>166</v>
      </c>
      <c r="BY56" s="124" t="s">
        <v>177</v>
      </c>
      <c r="BZ56" s="124" t="s">
        <v>168</v>
      </c>
      <c r="CA56" s="124" t="s">
        <v>169</v>
      </c>
      <c r="CB56" s="124"/>
      <c r="CC56" s="124" t="s">
        <v>170</v>
      </c>
      <c r="CD56" s="305" t="s">
        <v>160</v>
      </c>
    </row>
    <row r="57" spans="1:82" ht="14.5" x14ac:dyDescent="0.35">
      <c r="A57" s="5">
        <v>49</v>
      </c>
      <c r="B57" s="349"/>
      <c r="C57" s="123">
        <v>46071.626712962963</v>
      </c>
      <c r="D57" s="5" t="s">
        <v>688</v>
      </c>
      <c r="E57" s="236" t="s">
        <v>814</v>
      </c>
      <c r="F57" s="100" t="s">
        <v>12</v>
      </c>
      <c r="G57" s="5" t="s">
        <v>31</v>
      </c>
      <c r="H57" s="5" t="s">
        <v>53</v>
      </c>
      <c r="I57" s="102">
        <v>1</v>
      </c>
      <c r="J57" s="5" t="s">
        <v>180</v>
      </c>
      <c r="K57" s="5" t="s">
        <v>158</v>
      </c>
      <c r="L57" s="154" t="s">
        <v>203</v>
      </c>
      <c r="M57" s="154" t="s">
        <v>160</v>
      </c>
      <c r="N57" s="5"/>
      <c r="O57" s="5" t="s">
        <v>103</v>
      </c>
      <c r="P57" s="5"/>
      <c r="Q57" s="5"/>
      <c r="R57" s="5" t="s">
        <v>106</v>
      </c>
      <c r="S57" s="5"/>
      <c r="T57" s="154"/>
      <c r="U57" s="154"/>
      <c r="V57" s="154"/>
      <c r="W57" s="154" t="s">
        <v>111</v>
      </c>
      <c r="X57" s="154" t="s">
        <v>160</v>
      </c>
      <c r="Y57" s="5"/>
      <c r="Z57" s="5"/>
      <c r="AA57" s="5"/>
      <c r="AB57" s="154" t="s">
        <v>182</v>
      </c>
      <c r="AC57" s="5"/>
      <c r="AD57" s="154" t="s">
        <v>185</v>
      </c>
      <c r="AE57" s="5" t="s">
        <v>118</v>
      </c>
      <c r="AF57" s="5" t="s">
        <v>160</v>
      </c>
      <c r="AG57" s="154"/>
      <c r="AH57" s="5"/>
      <c r="AI57" s="154" t="s">
        <v>122</v>
      </c>
      <c r="AJ57" s="154" t="s">
        <v>160</v>
      </c>
      <c r="AK57" s="154"/>
      <c r="AL57" s="5"/>
      <c r="AM57" s="5" t="s">
        <v>126</v>
      </c>
      <c r="AN57" s="5" t="s">
        <v>160</v>
      </c>
      <c r="AO57" s="5"/>
      <c r="AP57" s="5" t="s">
        <v>127</v>
      </c>
      <c r="AQ57" s="5" t="s">
        <v>160</v>
      </c>
      <c r="AR57" s="5" t="s">
        <v>129</v>
      </c>
      <c r="AS57" s="5" t="s">
        <v>130</v>
      </c>
      <c r="AT57" s="5" t="s">
        <v>160</v>
      </c>
      <c r="AU57" s="5" t="s">
        <v>113</v>
      </c>
      <c r="AV57" s="5"/>
      <c r="AW57" s="5" t="s">
        <v>240</v>
      </c>
      <c r="AX57" s="5" t="s">
        <v>160</v>
      </c>
      <c r="AY57" s="5"/>
      <c r="AZ57" s="5"/>
      <c r="BA57" s="5"/>
      <c r="BB57" s="5"/>
      <c r="BC57" s="5"/>
      <c r="BD57" s="5"/>
      <c r="BE57" s="5"/>
      <c r="BF57" s="5"/>
      <c r="BG57" s="5"/>
      <c r="BH57" s="5"/>
      <c r="BI57" s="5" t="s">
        <v>132</v>
      </c>
      <c r="BJ57" s="5" t="s">
        <v>160</v>
      </c>
      <c r="BK57" s="5"/>
      <c r="BL57" s="5"/>
      <c r="BM57" s="5"/>
      <c r="BN57" s="5" t="s">
        <v>145</v>
      </c>
      <c r="BO57" s="5" t="s">
        <v>160</v>
      </c>
      <c r="BP57" s="5"/>
      <c r="BQ57" s="5" t="s">
        <v>174</v>
      </c>
      <c r="BR57" s="5" t="s">
        <v>147</v>
      </c>
      <c r="BS57" s="5" t="s">
        <v>160</v>
      </c>
      <c r="BT57" s="5"/>
      <c r="BU57" s="5"/>
      <c r="BV57" s="124"/>
      <c r="BW57" s="124"/>
      <c r="BX57" s="124" t="s">
        <v>186</v>
      </c>
      <c r="BY57" s="124" t="s">
        <v>167</v>
      </c>
      <c r="BZ57" s="124" t="s">
        <v>168</v>
      </c>
      <c r="CA57" s="124" t="s">
        <v>170</v>
      </c>
      <c r="CB57" s="124"/>
      <c r="CC57" s="124" t="s">
        <v>170</v>
      </c>
      <c r="CD57" s="305" t="s">
        <v>160</v>
      </c>
    </row>
    <row r="58" spans="1:82" ht="14.5" x14ac:dyDescent="0.35">
      <c r="A58" s="5">
        <v>48</v>
      </c>
      <c r="B58" s="349"/>
      <c r="C58" s="123">
        <v>46071.583043981482</v>
      </c>
      <c r="D58" s="5" t="s">
        <v>689</v>
      </c>
      <c r="E58" s="236" t="s">
        <v>812</v>
      </c>
      <c r="F58" s="100" t="s">
        <v>35</v>
      </c>
      <c r="G58" s="5" t="s">
        <v>43</v>
      </c>
      <c r="H58" s="5" t="s">
        <v>16</v>
      </c>
      <c r="I58" s="102">
        <v>1</v>
      </c>
      <c r="J58" s="5" t="s">
        <v>198</v>
      </c>
      <c r="K58" s="5" t="s">
        <v>172</v>
      </c>
      <c r="L58" s="154" t="s">
        <v>203</v>
      </c>
      <c r="M58" s="154" t="s">
        <v>160</v>
      </c>
      <c r="N58" s="5"/>
      <c r="O58" s="5"/>
      <c r="P58" s="5"/>
      <c r="Q58" s="5"/>
      <c r="R58" s="5" t="s">
        <v>106</v>
      </c>
      <c r="S58" s="5"/>
      <c r="T58" s="154" t="s">
        <v>108</v>
      </c>
      <c r="U58" s="154" t="s">
        <v>109</v>
      </c>
      <c r="V58" s="154" t="s">
        <v>160</v>
      </c>
      <c r="W58" s="5"/>
      <c r="X58" s="154"/>
      <c r="Y58" s="5"/>
      <c r="Z58" s="5"/>
      <c r="AA58" s="5"/>
      <c r="AB58" s="154" t="s">
        <v>200</v>
      </c>
      <c r="AC58" s="5"/>
      <c r="AD58" s="154" t="s">
        <v>185</v>
      </c>
      <c r="AE58" s="5"/>
      <c r="AF58" s="5"/>
      <c r="AG58" s="154"/>
      <c r="AH58" s="5" t="s">
        <v>121</v>
      </c>
      <c r="AI58" s="154" t="s">
        <v>122</v>
      </c>
      <c r="AJ58" s="154" t="s">
        <v>123</v>
      </c>
      <c r="AK58" s="154" t="s">
        <v>160</v>
      </c>
      <c r="AL58" s="5"/>
      <c r="AM58" s="5"/>
      <c r="AN58" s="5"/>
      <c r="AO58" s="5"/>
      <c r="AP58" s="5"/>
      <c r="AQ58" s="5"/>
      <c r="AR58" s="5"/>
      <c r="AS58" s="5"/>
      <c r="AT58" s="5"/>
      <c r="AU58" s="5"/>
      <c r="AV58" s="5" t="s">
        <v>132</v>
      </c>
      <c r="AW58" s="5" t="s">
        <v>160</v>
      </c>
      <c r="AX58" s="5"/>
      <c r="AY58" s="5"/>
      <c r="AZ58" s="5"/>
      <c r="BA58" s="5"/>
      <c r="BB58" s="5"/>
      <c r="BC58" s="5"/>
      <c r="BD58" s="5"/>
      <c r="BE58" s="5" t="s">
        <v>139</v>
      </c>
      <c r="BF58" s="5" t="s">
        <v>160</v>
      </c>
      <c r="BG58" s="5" t="s">
        <v>160</v>
      </c>
      <c r="BH58" s="5"/>
      <c r="BI58" s="5"/>
      <c r="BJ58" s="5"/>
      <c r="BK58" s="5"/>
      <c r="BL58" s="5"/>
      <c r="BM58" s="5"/>
      <c r="BN58" s="5" t="s">
        <v>145</v>
      </c>
      <c r="BO58" s="5" t="s">
        <v>160</v>
      </c>
      <c r="BP58" s="5"/>
      <c r="BQ58" s="5" t="s">
        <v>174</v>
      </c>
      <c r="BR58" s="5"/>
      <c r="BS58" s="5" t="s">
        <v>148</v>
      </c>
      <c r="BT58" s="5"/>
      <c r="BU58" s="5"/>
      <c r="BV58" s="124"/>
      <c r="BW58" s="124"/>
      <c r="BX58" s="124" t="s">
        <v>166</v>
      </c>
      <c r="BY58" s="124" t="s">
        <v>177</v>
      </c>
      <c r="BZ58" s="124" t="s">
        <v>178</v>
      </c>
      <c r="CA58" s="124" t="s">
        <v>170</v>
      </c>
      <c r="CB58" s="124"/>
      <c r="CC58" s="124" t="s">
        <v>197</v>
      </c>
      <c r="CD58" s="305" t="s">
        <v>160</v>
      </c>
    </row>
    <row r="59" spans="1:82" ht="14.5" x14ac:dyDescent="0.35">
      <c r="A59" s="5">
        <v>47</v>
      </c>
      <c r="B59" s="349"/>
      <c r="C59" s="123">
        <v>46070.464999999997</v>
      </c>
      <c r="D59" s="5" t="s">
        <v>690</v>
      </c>
      <c r="E59" s="236" t="s">
        <v>813</v>
      </c>
      <c r="F59" s="100" t="s">
        <v>49</v>
      </c>
      <c r="G59" s="5" t="s">
        <v>31</v>
      </c>
      <c r="H59" s="5" t="s">
        <v>26</v>
      </c>
      <c r="I59" s="101" t="s">
        <v>57</v>
      </c>
      <c r="J59" s="5" t="s">
        <v>157</v>
      </c>
      <c r="K59" s="5" t="s">
        <v>191</v>
      </c>
      <c r="L59" s="154" t="s">
        <v>173</v>
      </c>
      <c r="M59" s="154" t="s">
        <v>101</v>
      </c>
      <c r="N59" s="5"/>
      <c r="O59" s="5" t="s">
        <v>103</v>
      </c>
      <c r="P59" s="5"/>
      <c r="Q59" s="5"/>
      <c r="R59" s="5"/>
      <c r="S59" s="5"/>
      <c r="T59" s="154" t="s">
        <v>108</v>
      </c>
      <c r="U59" s="154"/>
      <c r="V59" s="154" t="s">
        <v>160</v>
      </c>
      <c r="W59" s="5"/>
      <c r="X59" s="154"/>
      <c r="Y59" s="5"/>
      <c r="Z59" s="5"/>
      <c r="AA59" s="5"/>
      <c r="AB59" s="154" t="s">
        <v>161</v>
      </c>
      <c r="AC59" s="5"/>
      <c r="AD59" s="154" t="s">
        <v>162</v>
      </c>
      <c r="AE59" s="5"/>
      <c r="AF59" s="5"/>
      <c r="AG59" s="154"/>
      <c r="AH59" s="5"/>
      <c r="AI59" s="154" t="s">
        <v>122</v>
      </c>
      <c r="AJ59" s="154" t="s">
        <v>160</v>
      </c>
      <c r="AK59" s="154"/>
      <c r="AL59" s="5"/>
      <c r="AM59" s="5"/>
      <c r="AN59" s="5"/>
      <c r="AO59" s="5"/>
      <c r="AP59" s="5" t="s">
        <v>127</v>
      </c>
      <c r="AQ59" s="5" t="s">
        <v>128</v>
      </c>
      <c r="AR59" s="5" t="s">
        <v>129</v>
      </c>
      <c r="AS59" s="5" t="s">
        <v>130</v>
      </c>
      <c r="AT59" s="5" t="s">
        <v>131</v>
      </c>
      <c r="AU59" s="5" t="s">
        <v>160</v>
      </c>
      <c r="AV59" s="5"/>
      <c r="AW59" s="5"/>
      <c r="AX59" s="5" t="s">
        <v>133</v>
      </c>
      <c r="AY59" s="5" t="s">
        <v>134</v>
      </c>
      <c r="AZ59" s="5" t="s">
        <v>135</v>
      </c>
      <c r="BA59" s="5" t="s">
        <v>121</v>
      </c>
      <c r="BB59" s="5" t="s">
        <v>136</v>
      </c>
      <c r="BC59" s="5" t="s">
        <v>137</v>
      </c>
      <c r="BD59" s="5" t="s">
        <v>138</v>
      </c>
      <c r="BE59" s="5" t="s">
        <v>139</v>
      </c>
      <c r="BF59" s="5" t="s">
        <v>140</v>
      </c>
      <c r="BG59" s="5" t="s">
        <v>141</v>
      </c>
      <c r="BH59" s="5" t="s">
        <v>160</v>
      </c>
      <c r="BI59" s="5"/>
      <c r="BJ59" s="5"/>
      <c r="BK59" s="5" t="s">
        <v>142</v>
      </c>
      <c r="BL59" s="5" t="s">
        <v>160</v>
      </c>
      <c r="BM59" s="5"/>
      <c r="BN59" s="5"/>
      <c r="BO59" s="5"/>
      <c r="BP59" s="5"/>
      <c r="BQ59" s="5" t="s">
        <v>178</v>
      </c>
      <c r="BR59" s="5" t="s">
        <v>147</v>
      </c>
      <c r="BS59" s="5" t="s">
        <v>160</v>
      </c>
      <c r="BT59" s="5" t="s">
        <v>149</v>
      </c>
      <c r="BU59" s="5" t="s">
        <v>150</v>
      </c>
      <c r="BV59" s="124"/>
      <c r="BW59" s="124"/>
      <c r="BX59" s="124" t="s">
        <v>176</v>
      </c>
      <c r="BY59" s="124" t="s">
        <v>167</v>
      </c>
      <c r="BZ59" s="124" t="s">
        <v>168</v>
      </c>
      <c r="CA59" s="124" t="s">
        <v>169</v>
      </c>
      <c r="CB59" s="124"/>
      <c r="CC59" s="124" t="s">
        <v>169</v>
      </c>
    </row>
    <row r="60" spans="1:82" s="180" customFormat="1" ht="14.5" x14ac:dyDescent="0.35">
      <c r="A60" s="184">
        <v>46</v>
      </c>
      <c r="B60" s="349"/>
      <c r="C60" s="206">
        <v>46069.386956018519</v>
      </c>
      <c r="D60" s="184" t="s">
        <v>691</v>
      </c>
      <c r="E60" s="236" t="s">
        <v>814</v>
      </c>
      <c r="F60" s="183" t="s">
        <v>24</v>
      </c>
      <c r="G60" s="184" t="s">
        <v>31</v>
      </c>
      <c r="H60" s="187" t="s">
        <v>16</v>
      </c>
      <c r="I60" s="185">
        <v>1</v>
      </c>
      <c r="J60" s="184" t="s">
        <v>180</v>
      </c>
      <c r="K60" s="184" t="s">
        <v>158</v>
      </c>
      <c r="L60" s="210" t="s">
        <v>203</v>
      </c>
      <c r="M60" s="210" t="s">
        <v>160</v>
      </c>
      <c r="N60" s="184"/>
      <c r="O60" s="184"/>
      <c r="P60" s="184"/>
      <c r="Q60" s="184"/>
      <c r="R60" s="184"/>
      <c r="S60" s="184"/>
      <c r="T60" s="210" t="s">
        <v>108</v>
      </c>
      <c r="U60" s="210"/>
      <c r="V60" s="210" t="s">
        <v>160</v>
      </c>
      <c r="W60" s="184"/>
      <c r="X60" s="210"/>
      <c r="Y60" s="184"/>
      <c r="Z60" s="184"/>
      <c r="AA60" s="184"/>
      <c r="AB60" s="210" t="s">
        <v>161</v>
      </c>
      <c r="AC60" s="184"/>
      <c r="AD60" s="210" t="s">
        <v>162</v>
      </c>
      <c r="AE60" s="184" t="s">
        <v>118</v>
      </c>
      <c r="AF60" s="184" t="s">
        <v>160</v>
      </c>
      <c r="AG60" s="210" t="s">
        <v>120</v>
      </c>
      <c r="AH60" s="184"/>
      <c r="AI60" s="210" t="s">
        <v>122</v>
      </c>
      <c r="AJ60" s="210" t="s">
        <v>160</v>
      </c>
      <c r="AK60" s="210"/>
      <c r="AL60" s="184"/>
      <c r="AM60" s="184"/>
      <c r="AN60" s="184"/>
      <c r="AO60" s="184"/>
      <c r="AP60" s="184"/>
      <c r="AQ60" s="184"/>
      <c r="AR60" s="184" t="s">
        <v>129</v>
      </c>
      <c r="AS60" s="184" t="s">
        <v>130</v>
      </c>
      <c r="AT60" s="184" t="s">
        <v>160</v>
      </c>
      <c r="AU60" s="184"/>
      <c r="AV60" s="184"/>
      <c r="AW60" s="184"/>
      <c r="AX60" s="184" t="s">
        <v>133</v>
      </c>
      <c r="AY60" s="184"/>
      <c r="AZ60" s="184" t="s">
        <v>135</v>
      </c>
      <c r="BA60" s="184"/>
      <c r="BB60" s="184" t="s">
        <v>136</v>
      </c>
      <c r="BC60" s="184"/>
      <c r="BD60" s="184" t="s">
        <v>138</v>
      </c>
      <c r="BE60" s="184"/>
      <c r="BF60" s="184" t="s">
        <v>140</v>
      </c>
      <c r="BG60" s="184" t="s">
        <v>160</v>
      </c>
      <c r="BH60" s="184"/>
      <c r="BI60" s="184"/>
      <c r="BJ60" s="184"/>
      <c r="BK60" s="184" t="s">
        <v>142</v>
      </c>
      <c r="BL60" s="184" t="s">
        <v>160</v>
      </c>
      <c r="BM60" s="184" t="s">
        <v>144</v>
      </c>
      <c r="BN60" s="184" t="s">
        <v>160</v>
      </c>
      <c r="BO60" s="184" t="s">
        <v>113</v>
      </c>
      <c r="BP60" s="184" t="s">
        <v>241</v>
      </c>
      <c r="BQ60" s="184" t="s">
        <v>174</v>
      </c>
      <c r="BR60" s="184" t="s">
        <v>147</v>
      </c>
      <c r="BS60" s="184" t="s">
        <v>160</v>
      </c>
      <c r="BT60" s="184" t="s">
        <v>149</v>
      </c>
      <c r="BU60" s="184" t="s">
        <v>160</v>
      </c>
      <c r="BV60" s="208"/>
      <c r="BW60" s="208"/>
      <c r="BX60" s="208" t="s">
        <v>186</v>
      </c>
      <c r="BY60" s="208" t="s">
        <v>167</v>
      </c>
      <c r="BZ60" s="208" t="s">
        <v>178</v>
      </c>
      <c r="CA60" s="208" t="s">
        <v>170</v>
      </c>
      <c r="CB60" s="208" t="s">
        <v>242</v>
      </c>
      <c r="CC60" s="208" t="s">
        <v>170</v>
      </c>
      <c r="CD60" s="180" t="s">
        <v>160</v>
      </c>
    </row>
    <row r="61" spans="1:82" ht="14.5" x14ac:dyDescent="0.35">
      <c r="A61" s="5">
        <v>45</v>
      </c>
      <c r="B61" s="349"/>
      <c r="C61" s="123">
        <v>46063.555960648147</v>
      </c>
      <c r="D61" s="5" t="s">
        <v>692</v>
      </c>
      <c r="E61" s="236" t="s">
        <v>812</v>
      </c>
      <c r="F61" s="100" t="s">
        <v>49</v>
      </c>
      <c r="G61" s="5" t="s">
        <v>13</v>
      </c>
      <c r="H61" s="5" t="s">
        <v>64</v>
      </c>
      <c r="I61" s="102">
        <v>1</v>
      </c>
      <c r="J61" s="5" t="s">
        <v>184</v>
      </c>
      <c r="K61" s="5" t="s">
        <v>172</v>
      </c>
      <c r="L61" s="154" t="s">
        <v>173</v>
      </c>
      <c r="M61" s="154" t="s">
        <v>160</v>
      </c>
      <c r="N61" s="5"/>
      <c r="O61" s="5"/>
      <c r="P61" s="5"/>
      <c r="Q61" s="5"/>
      <c r="R61" s="5"/>
      <c r="S61" s="5"/>
      <c r="T61" s="154"/>
      <c r="U61" s="154" t="s">
        <v>109</v>
      </c>
      <c r="V61" s="154" t="s">
        <v>160</v>
      </c>
      <c r="W61" s="5"/>
      <c r="X61" s="154" t="s">
        <v>112</v>
      </c>
      <c r="Y61" s="5"/>
      <c r="Z61" s="5"/>
      <c r="AA61" s="5"/>
      <c r="AB61" s="154" t="s">
        <v>182</v>
      </c>
      <c r="AC61" s="5"/>
      <c r="AD61" s="154" t="s">
        <v>185</v>
      </c>
      <c r="AE61" s="5"/>
      <c r="AF61" s="5"/>
      <c r="AG61" s="154"/>
      <c r="AH61" s="5"/>
      <c r="AI61" s="154" t="s">
        <v>122</v>
      </c>
      <c r="AJ61" s="154" t="s">
        <v>160</v>
      </c>
      <c r="AK61" s="154" t="s">
        <v>124</v>
      </c>
      <c r="AL61" s="5"/>
      <c r="AM61" s="5" t="s">
        <v>126</v>
      </c>
      <c r="AN61" s="5" t="s">
        <v>160</v>
      </c>
      <c r="AO61" s="5"/>
      <c r="AP61" s="5"/>
      <c r="AQ61" s="5" t="s">
        <v>128</v>
      </c>
      <c r="AR61" s="5" t="s">
        <v>160</v>
      </c>
      <c r="AS61" s="5"/>
      <c r="AT61" s="5"/>
      <c r="AU61" s="5"/>
      <c r="AV61" s="5"/>
      <c r="AW61" s="5"/>
      <c r="AX61" s="5"/>
      <c r="AY61" s="5"/>
      <c r="AZ61" s="5"/>
      <c r="BA61" s="5"/>
      <c r="BB61" s="5"/>
      <c r="BC61" s="5"/>
      <c r="BD61" s="5"/>
      <c r="BE61" s="5"/>
      <c r="BF61" s="5" t="s">
        <v>140</v>
      </c>
      <c r="BG61" s="5" t="s">
        <v>141</v>
      </c>
      <c r="BH61" s="5" t="s">
        <v>160</v>
      </c>
      <c r="BI61" s="5"/>
      <c r="BJ61" s="5"/>
      <c r="BK61" s="5"/>
      <c r="BL61" s="5"/>
      <c r="BM61" s="5"/>
      <c r="BN61" s="5" t="s">
        <v>145</v>
      </c>
      <c r="BO61" s="5" t="s">
        <v>160</v>
      </c>
      <c r="BP61" s="5"/>
      <c r="BQ61" s="5" t="s">
        <v>174</v>
      </c>
      <c r="BR61" s="5" t="s">
        <v>147</v>
      </c>
      <c r="BS61" s="5" t="s">
        <v>160</v>
      </c>
      <c r="BT61" s="5"/>
      <c r="BU61" s="5"/>
      <c r="BV61" s="124"/>
      <c r="BW61" s="124"/>
      <c r="BX61" s="124" t="s">
        <v>166</v>
      </c>
      <c r="BY61" s="124" t="s">
        <v>177</v>
      </c>
      <c r="BZ61" s="124" t="s">
        <v>168</v>
      </c>
      <c r="CA61" s="124" t="s">
        <v>170</v>
      </c>
      <c r="CB61" s="124"/>
      <c r="CC61" s="124" t="s">
        <v>169</v>
      </c>
    </row>
    <row r="62" spans="1:82" ht="14.5" x14ac:dyDescent="0.35">
      <c r="A62" s="5">
        <v>44</v>
      </c>
      <c r="B62" s="349"/>
      <c r="C62" s="123">
        <v>46055.476863425924</v>
      </c>
      <c r="D62" s="5" t="s">
        <v>693</v>
      </c>
      <c r="E62" s="236" t="s">
        <v>813</v>
      </c>
      <c r="F62" s="100" t="s">
        <v>39</v>
      </c>
      <c r="G62" s="5" t="s">
        <v>25</v>
      </c>
      <c r="H62" s="5" t="s">
        <v>29</v>
      </c>
      <c r="I62" s="101" t="s">
        <v>57</v>
      </c>
      <c r="J62" s="5" t="s">
        <v>180</v>
      </c>
      <c r="K62" s="5" t="s">
        <v>158</v>
      </c>
      <c r="L62" s="154" t="s">
        <v>159</v>
      </c>
      <c r="M62" s="154" t="s">
        <v>160</v>
      </c>
      <c r="N62" s="5"/>
      <c r="O62" s="5"/>
      <c r="P62" s="5"/>
      <c r="Q62" s="5"/>
      <c r="R62" s="5"/>
      <c r="S62" s="5"/>
      <c r="T62" s="154" t="s">
        <v>108</v>
      </c>
      <c r="U62" s="154" t="s">
        <v>109</v>
      </c>
      <c r="V62" s="154" t="s">
        <v>160</v>
      </c>
      <c r="W62" s="5"/>
      <c r="X62" s="154"/>
      <c r="Y62" s="5"/>
      <c r="Z62" s="5"/>
      <c r="AA62" s="5"/>
      <c r="AB62" s="154" t="s">
        <v>161</v>
      </c>
      <c r="AC62" s="5"/>
      <c r="AD62" s="154" t="s">
        <v>165</v>
      </c>
      <c r="AE62" s="5"/>
      <c r="AF62" s="5"/>
      <c r="AG62" s="154"/>
      <c r="AH62" s="5"/>
      <c r="AI62" s="154" t="s">
        <v>122</v>
      </c>
      <c r="AJ62" s="154" t="s">
        <v>160</v>
      </c>
      <c r="AK62" s="154" t="s">
        <v>124</v>
      </c>
      <c r="AL62" s="5"/>
      <c r="AM62" s="5"/>
      <c r="AN62" s="5" t="s">
        <v>113</v>
      </c>
      <c r="AO62" s="5" t="s">
        <v>243</v>
      </c>
      <c r="AP62" s="5" t="s">
        <v>127</v>
      </c>
      <c r="AQ62" s="5" t="s">
        <v>128</v>
      </c>
      <c r="AR62" s="5" t="s">
        <v>129</v>
      </c>
      <c r="AS62" s="5" t="s">
        <v>130</v>
      </c>
      <c r="AT62" s="5" t="s">
        <v>131</v>
      </c>
      <c r="AU62" s="5" t="s">
        <v>160</v>
      </c>
      <c r="AV62" s="5"/>
      <c r="AW62" s="5"/>
      <c r="AX62" s="5"/>
      <c r="AY62" s="5" t="s">
        <v>134</v>
      </c>
      <c r="AZ62" s="5"/>
      <c r="BA62" s="5"/>
      <c r="BB62" s="5" t="s">
        <v>136</v>
      </c>
      <c r="BC62" s="5"/>
      <c r="BD62" s="5" t="s">
        <v>138</v>
      </c>
      <c r="BE62" s="5"/>
      <c r="BF62" s="5"/>
      <c r="BG62" s="5" t="s">
        <v>141</v>
      </c>
      <c r="BH62" s="5" t="s">
        <v>160</v>
      </c>
      <c r="BI62" s="5"/>
      <c r="BJ62" s="5"/>
      <c r="BK62" s="5" t="s">
        <v>142</v>
      </c>
      <c r="BL62" s="5" t="s">
        <v>160</v>
      </c>
      <c r="BM62" s="5"/>
      <c r="BN62" s="5"/>
      <c r="BO62" s="5"/>
      <c r="BP62" s="5"/>
      <c r="BQ62" s="5" t="s">
        <v>165</v>
      </c>
      <c r="BR62" s="5" t="s">
        <v>160</v>
      </c>
      <c r="BS62" s="5"/>
      <c r="BT62" s="5"/>
      <c r="BU62" s="5" t="s">
        <v>150</v>
      </c>
      <c r="BV62" s="124"/>
      <c r="BW62" s="124"/>
      <c r="BX62" s="124" t="s">
        <v>176</v>
      </c>
      <c r="BY62" s="124" t="s">
        <v>177</v>
      </c>
      <c r="BZ62" s="124" t="s">
        <v>168</v>
      </c>
      <c r="CA62" s="124" t="s">
        <v>170</v>
      </c>
      <c r="CB62" s="124"/>
      <c r="CC62" s="124" t="s">
        <v>170</v>
      </c>
      <c r="CD62" s="305" t="s">
        <v>160</v>
      </c>
    </row>
    <row r="63" spans="1:82" thickBot="1" x14ac:dyDescent="0.4">
      <c r="A63" s="116">
        <v>43</v>
      </c>
      <c r="B63" s="350"/>
      <c r="C63" s="129">
        <v>46055.476805555554</v>
      </c>
      <c r="D63" s="116" t="s">
        <v>694</v>
      </c>
      <c r="E63" s="236" t="s">
        <v>814</v>
      </c>
      <c r="F63" s="257" t="s">
        <v>39</v>
      </c>
      <c r="G63" s="116" t="s">
        <v>25</v>
      </c>
      <c r="H63" s="116" t="s">
        <v>29</v>
      </c>
      <c r="I63" s="258" t="s">
        <v>57</v>
      </c>
      <c r="J63" s="116" t="s">
        <v>180</v>
      </c>
      <c r="K63" s="116" t="s">
        <v>158</v>
      </c>
      <c r="L63" s="259" t="s">
        <v>159</v>
      </c>
      <c r="M63" s="259" t="s">
        <v>160</v>
      </c>
      <c r="N63" s="116"/>
      <c r="O63" s="116"/>
      <c r="P63" s="116"/>
      <c r="Q63" s="116"/>
      <c r="R63" s="116"/>
      <c r="S63" s="116"/>
      <c r="T63" s="259" t="s">
        <v>108</v>
      </c>
      <c r="U63" s="259" t="s">
        <v>109</v>
      </c>
      <c r="V63" s="259" t="s">
        <v>160</v>
      </c>
      <c r="W63" s="116"/>
      <c r="X63" s="259"/>
      <c r="Y63" s="116"/>
      <c r="Z63" s="116"/>
      <c r="AA63" s="116"/>
      <c r="AB63" s="259" t="s">
        <v>161</v>
      </c>
      <c r="AC63" s="116"/>
      <c r="AD63" s="259" t="s">
        <v>165</v>
      </c>
      <c r="AE63" s="116"/>
      <c r="AF63" s="116"/>
      <c r="AG63" s="259"/>
      <c r="AH63" s="116"/>
      <c r="AI63" s="259" t="s">
        <v>122</v>
      </c>
      <c r="AJ63" s="259" t="s">
        <v>160</v>
      </c>
      <c r="AK63" s="259" t="s">
        <v>124</v>
      </c>
      <c r="AL63" s="116"/>
      <c r="AM63" s="116"/>
      <c r="AN63" s="116" t="s">
        <v>113</v>
      </c>
      <c r="AO63" s="116" t="s">
        <v>243</v>
      </c>
      <c r="AP63" s="116" t="s">
        <v>127</v>
      </c>
      <c r="AQ63" s="116" t="s">
        <v>128</v>
      </c>
      <c r="AR63" s="116" t="s">
        <v>129</v>
      </c>
      <c r="AS63" s="116" t="s">
        <v>130</v>
      </c>
      <c r="AT63" s="116" t="s">
        <v>131</v>
      </c>
      <c r="AU63" s="116" t="s">
        <v>160</v>
      </c>
      <c r="AV63" s="116"/>
      <c r="AW63" s="116"/>
      <c r="AX63" s="116"/>
      <c r="AY63" s="116" t="s">
        <v>134</v>
      </c>
      <c r="AZ63" s="116"/>
      <c r="BA63" s="116"/>
      <c r="BB63" s="116" t="s">
        <v>136</v>
      </c>
      <c r="BC63" s="116"/>
      <c r="BD63" s="116" t="s">
        <v>138</v>
      </c>
      <c r="BE63" s="116"/>
      <c r="BF63" s="116"/>
      <c r="BG63" s="116" t="s">
        <v>141</v>
      </c>
      <c r="BH63" s="116" t="s">
        <v>160</v>
      </c>
      <c r="BI63" s="116"/>
      <c r="BJ63" s="116"/>
      <c r="BK63" s="116" t="s">
        <v>142</v>
      </c>
      <c r="BL63" s="116" t="s">
        <v>160</v>
      </c>
      <c r="BM63" s="116"/>
      <c r="BN63" s="116"/>
      <c r="BO63" s="116"/>
      <c r="BP63" s="116"/>
      <c r="BQ63" s="116" t="s">
        <v>165</v>
      </c>
      <c r="BR63" s="116" t="s">
        <v>160</v>
      </c>
      <c r="BS63" s="116"/>
      <c r="BT63" s="116"/>
      <c r="BU63" s="116" t="s">
        <v>150</v>
      </c>
      <c r="BV63" s="130"/>
      <c r="BW63" s="130"/>
      <c r="BX63" s="130" t="s">
        <v>176</v>
      </c>
      <c r="BY63" s="130" t="s">
        <v>177</v>
      </c>
      <c r="BZ63" s="130" t="s">
        <v>168</v>
      </c>
      <c r="CA63" s="130" t="s">
        <v>169</v>
      </c>
      <c r="CB63" s="130"/>
      <c r="CC63" s="130" t="s">
        <v>169</v>
      </c>
    </row>
    <row r="64" spans="1:82" ht="14.5" x14ac:dyDescent="0.35">
      <c r="A64" s="256">
        <v>42</v>
      </c>
      <c r="B64" s="327">
        <v>46023</v>
      </c>
      <c r="C64" s="230">
        <v>46050.459583333337</v>
      </c>
      <c r="D64" s="241" t="s">
        <v>695</v>
      </c>
      <c r="E64" s="234" t="s">
        <v>816</v>
      </c>
      <c r="F64" s="232" t="s">
        <v>35</v>
      </c>
      <c r="G64" s="231" t="s">
        <v>25</v>
      </c>
      <c r="H64" s="231" t="s">
        <v>29</v>
      </c>
      <c r="I64" s="260">
        <v>1</v>
      </c>
      <c r="J64" s="261" t="s">
        <v>180</v>
      </c>
      <c r="K64" s="261" t="s">
        <v>172</v>
      </c>
      <c r="L64" s="262" t="s">
        <v>203</v>
      </c>
      <c r="M64" s="262"/>
      <c r="N64" s="261"/>
      <c r="O64" s="261"/>
      <c r="P64" s="261"/>
      <c r="Q64" s="261"/>
      <c r="R64" s="261"/>
      <c r="S64" s="261"/>
      <c r="T64" s="262"/>
      <c r="U64" s="262" t="s">
        <v>109</v>
      </c>
      <c r="V64" s="262" t="s">
        <v>160</v>
      </c>
      <c r="W64" s="261"/>
      <c r="X64" s="262"/>
      <c r="Y64" s="261"/>
      <c r="Z64" s="261"/>
      <c r="AA64" s="261"/>
      <c r="AB64" s="262" t="s">
        <v>161</v>
      </c>
      <c r="AC64" s="261"/>
      <c r="AD64" s="262" t="s">
        <v>162</v>
      </c>
      <c r="AE64" s="261"/>
      <c r="AF64" s="261"/>
      <c r="AG64" s="262" t="s">
        <v>120</v>
      </c>
      <c r="AH64" s="261" t="s">
        <v>121</v>
      </c>
      <c r="AI64" s="262" t="s">
        <v>160</v>
      </c>
      <c r="AJ64" s="262"/>
      <c r="AK64" s="262"/>
      <c r="AL64" s="261"/>
      <c r="AM64" s="261"/>
      <c r="AN64" s="261"/>
      <c r="AO64" s="261"/>
      <c r="AP64" s="261"/>
      <c r="AQ64" s="261"/>
      <c r="AR64" s="261"/>
      <c r="AS64" s="261"/>
      <c r="AT64" s="261"/>
      <c r="AU64" s="261"/>
      <c r="AV64" s="261" t="s">
        <v>132</v>
      </c>
      <c r="AW64" s="261"/>
      <c r="AX64" s="261"/>
      <c r="AY64" s="261"/>
      <c r="AZ64" s="261" t="s">
        <v>135</v>
      </c>
      <c r="BA64" s="261" t="s">
        <v>121</v>
      </c>
      <c r="BB64" s="261"/>
      <c r="BC64" s="261"/>
      <c r="BD64" s="261"/>
      <c r="BE64" s="261"/>
      <c r="BF64" s="261"/>
      <c r="BG64" s="261" t="s">
        <v>141</v>
      </c>
      <c r="BH64" s="261"/>
      <c r="BI64" s="261"/>
      <c r="BJ64" s="261"/>
      <c r="BK64" s="261"/>
      <c r="BL64" s="261"/>
      <c r="BM64" s="261" t="s">
        <v>144</v>
      </c>
      <c r="BN64" s="261"/>
      <c r="BO64" s="261"/>
      <c r="BP64" s="261"/>
      <c r="BQ64" s="261" t="s">
        <v>165</v>
      </c>
      <c r="BR64" s="261"/>
      <c r="BS64" s="261"/>
      <c r="BT64" s="261"/>
      <c r="BU64" s="261" t="s">
        <v>150</v>
      </c>
      <c r="BV64" s="261"/>
      <c r="BW64" s="261"/>
      <c r="BX64" s="261" t="s">
        <v>176</v>
      </c>
      <c r="BY64" s="261" t="s">
        <v>177</v>
      </c>
      <c r="BZ64" s="261" t="s">
        <v>168</v>
      </c>
      <c r="CA64" s="261" t="s">
        <v>170</v>
      </c>
      <c r="CB64" s="261"/>
      <c r="CC64" s="261" t="s">
        <v>197</v>
      </c>
      <c r="CD64" s="305" t="s">
        <v>160</v>
      </c>
    </row>
    <row r="65" spans="1:82" ht="14.5" x14ac:dyDescent="0.35">
      <c r="A65">
        <v>41</v>
      </c>
      <c r="B65" s="343"/>
      <c r="C65" s="123">
        <v>46048.698553240742</v>
      </c>
      <c r="D65" s="5" t="s">
        <v>696</v>
      </c>
      <c r="E65" s="236" t="s">
        <v>815</v>
      </c>
      <c r="F65" s="100" t="s">
        <v>38</v>
      </c>
      <c r="G65" s="5" t="s">
        <v>31</v>
      </c>
      <c r="H65" s="5" t="s">
        <v>26</v>
      </c>
      <c r="I65" s="101" t="s">
        <v>32</v>
      </c>
      <c r="J65" s="124" t="s">
        <v>171</v>
      </c>
      <c r="K65" s="124" t="s">
        <v>191</v>
      </c>
      <c r="L65" s="155" t="s">
        <v>159</v>
      </c>
      <c r="M65" s="155"/>
      <c r="N65" s="124"/>
      <c r="O65" s="124"/>
      <c r="P65" s="124" t="s">
        <v>104</v>
      </c>
      <c r="Q65" s="124"/>
      <c r="R65" s="124"/>
      <c r="S65" s="124"/>
      <c r="T65" s="155" t="s">
        <v>108</v>
      </c>
      <c r="U65" s="155" t="s">
        <v>109</v>
      </c>
      <c r="V65" s="155" t="s">
        <v>160</v>
      </c>
      <c r="W65" s="124"/>
      <c r="X65" s="155"/>
      <c r="Y65" s="124"/>
      <c r="Z65" s="124"/>
      <c r="AA65" s="124"/>
      <c r="AB65" s="155" t="s">
        <v>161</v>
      </c>
      <c r="AC65" s="124"/>
      <c r="AD65" s="155" t="s">
        <v>165</v>
      </c>
      <c r="AE65" s="124"/>
      <c r="AF65" s="124" t="s">
        <v>119</v>
      </c>
      <c r="AG65" s="155" t="s">
        <v>120</v>
      </c>
      <c r="AH65" s="124"/>
      <c r="AI65" s="155" t="s">
        <v>122</v>
      </c>
      <c r="AJ65" s="155" t="s">
        <v>160</v>
      </c>
      <c r="AK65" s="155"/>
      <c r="AL65" s="124"/>
      <c r="AM65" s="124"/>
      <c r="AN65" s="124"/>
      <c r="AO65" s="124"/>
      <c r="AP65" s="124"/>
      <c r="AQ65" s="124" t="s">
        <v>128</v>
      </c>
      <c r="AR65" s="124" t="s">
        <v>129</v>
      </c>
      <c r="AS65" s="124" t="s">
        <v>130</v>
      </c>
      <c r="AT65" s="124" t="s">
        <v>131</v>
      </c>
      <c r="AU65" s="124"/>
      <c r="AV65" s="124"/>
      <c r="AW65" s="124"/>
      <c r="AX65" s="124" t="s">
        <v>133</v>
      </c>
      <c r="AY65" s="124" t="s">
        <v>134</v>
      </c>
      <c r="AZ65" s="124" t="s">
        <v>135</v>
      </c>
      <c r="BA65" s="124" t="s">
        <v>121</v>
      </c>
      <c r="BB65" s="124" t="s">
        <v>136</v>
      </c>
      <c r="BC65" s="124"/>
      <c r="BD65" s="124" t="s">
        <v>138</v>
      </c>
      <c r="BE65" s="124"/>
      <c r="BF65" s="124" t="s">
        <v>140</v>
      </c>
      <c r="BG65" s="124" t="s">
        <v>141</v>
      </c>
      <c r="BH65" s="124"/>
      <c r="BI65" s="124"/>
      <c r="BJ65" s="124"/>
      <c r="BK65" s="124" t="s">
        <v>142</v>
      </c>
      <c r="BL65" s="124"/>
      <c r="BM65" s="124"/>
      <c r="BN65" s="124"/>
      <c r="BO65" s="124"/>
      <c r="BP65" s="124"/>
      <c r="BQ65" s="124" t="s">
        <v>174</v>
      </c>
      <c r="BR65" s="124"/>
      <c r="BS65" s="124" t="s">
        <v>148</v>
      </c>
      <c r="BT65" s="124"/>
      <c r="BU65" s="124"/>
      <c r="BV65" s="124" t="s">
        <v>113</v>
      </c>
      <c r="BW65" s="124" t="s">
        <v>244</v>
      </c>
      <c r="BX65" s="124" t="s">
        <v>186</v>
      </c>
      <c r="BY65" s="124" t="s">
        <v>167</v>
      </c>
      <c r="BZ65" s="124" t="s">
        <v>178</v>
      </c>
      <c r="CA65" s="124" t="s">
        <v>169</v>
      </c>
      <c r="CB65" s="124"/>
      <c r="CC65" s="124" t="s">
        <v>170</v>
      </c>
      <c r="CD65" s="305" t="s">
        <v>160</v>
      </c>
    </row>
    <row r="66" spans="1:82" s="180" customFormat="1" ht="14.5" x14ac:dyDescent="0.35">
      <c r="A66" s="180">
        <v>40</v>
      </c>
      <c r="B66" s="343"/>
      <c r="C66" s="206">
        <v>46048.611134259256</v>
      </c>
      <c r="D66" s="187" t="s">
        <v>697</v>
      </c>
      <c r="E66" s="236" t="s">
        <v>817</v>
      </c>
      <c r="F66" s="183" t="s">
        <v>12</v>
      </c>
      <c r="G66" s="184" t="s">
        <v>25</v>
      </c>
      <c r="H66" s="187" t="s">
        <v>16</v>
      </c>
      <c r="I66" s="198" t="s">
        <v>27</v>
      </c>
      <c r="J66" s="208" t="s">
        <v>180</v>
      </c>
      <c r="K66" s="208" t="s">
        <v>172</v>
      </c>
      <c r="L66" s="209" t="s">
        <v>159</v>
      </c>
      <c r="M66" s="209"/>
      <c r="N66" s="208"/>
      <c r="O66" s="208"/>
      <c r="P66" s="208"/>
      <c r="Q66" s="208"/>
      <c r="R66" s="208"/>
      <c r="S66" s="208"/>
      <c r="T66" s="209" t="s">
        <v>108</v>
      </c>
      <c r="U66" s="209" t="s">
        <v>109</v>
      </c>
      <c r="V66" s="209" t="s">
        <v>160</v>
      </c>
      <c r="W66" s="208"/>
      <c r="X66" s="209"/>
      <c r="Y66" s="208"/>
      <c r="Z66" s="208"/>
      <c r="AA66" s="208"/>
      <c r="AB66" s="209" t="s">
        <v>161</v>
      </c>
      <c r="AC66" s="208"/>
      <c r="AD66" s="209" t="s">
        <v>165</v>
      </c>
      <c r="AE66" s="208" t="s">
        <v>118</v>
      </c>
      <c r="AF66" s="208" t="s">
        <v>160</v>
      </c>
      <c r="AG66" s="209" t="s">
        <v>120</v>
      </c>
      <c r="AH66" s="208"/>
      <c r="AI66" s="209" t="s">
        <v>122</v>
      </c>
      <c r="AJ66" s="209" t="s">
        <v>160</v>
      </c>
      <c r="AK66" s="209"/>
      <c r="AL66" s="208"/>
      <c r="AM66" s="208"/>
      <c r="AN66" s="208"/>
      <c r="AO66" s="208"/>
      <c r="AP66" s="208"/>
      <c r="AQ66" s="208"/>
      <c r="AR66" s="208"/>
      <c r="AS66" s="208"/>
      <c r="AT66" s="208"/>
      <c r="AU66" s="208" t="s">
        <v>113</v>
      </c>
      <c r="AV66" s="208"/>
      <c r="AW66" s="208" t="s">
        <v>245</v>
      </c>
      <c r="AX66" s="208"/>
      <c r="AY66" s="208"/>
      <c r="AZ66" s="208"/>
      <c r="BA66" s="208"/>
      <c r="BB66" s="208"/>
      <c r="BC66" s="208"/>
      <c r="BD66" s="208"/>
      <c r="BE66" s="208"/>
      <c r="BF66" s="208" t="s">
        <v>140</v>
      </c>
      <c r="BG66" s="208" t="s">
        <v>141</v>
      </c>
      <c r="BH66" s="208"/>
      <c r="BI66" s="208"/>
      <c r="BJ66" s="208"/>
      <c r="BK66" s="208" t="s">
        <v>142</v>
      </c>
      <c r="BL66" s="208" t="s">
        <v>143</v>
      </c>
      <c r="BM66" s="208" t="s">
        <v>144</v>
      </c>
      <c r="BN66" s="208" t="s">
        <v>145</v>
      </c>
      <c r="BO66" s="208" t="s">
        <v>113</v>
      </c>
      <c r="BP66" s="208" t="s">
        <v>246</v>
      </c>
      <c r="BQ66" s="208" t="s">
        <v>174</v>
      </c>
      <c r="BR66" s="208"/>
      <c r="BS66" s="208" t="s">
        <v>148</v>
      </c>
      <c r="BT66" s="208"/>
      <c r="BU66" s="208"/>
      <c r="BV66" s="208"/>
      <c r="BW66" s="208"/>
      <c r="BX66" s="208" t="s">
        <v>166</v>
      </c>
      <c r="BY66" s="208" t="s">
        <v>167</v>
      </c>
      <c r="BZ66" s="208" t="s">
        <v>168</v>
      </c>
      <c r="CA66" s="208" t="s">
        <v>170</v>
      </c>
      <c r="CB66" s="208"/>
      <c r="CC66" s="208" t="s">
        <v>170</v>
      </c>
      <c r="CD66" s="180" t="s">
        <v>160</v>
      </c>
    </row>
    <row r="67" spans="1:82" ht="14.5" x14ac:dyDescent="0.35">
      <c r="A67">
        <v>39</v>
      </c>
      <c r="B67" s="343"/>
      <c r="C67" s="123">
        <v>46045.225219907406</v>
      </c>
      <c r="D67" s="5" t="s">
        <v>698</v>
      </c>
      <c r="E67" s="236" t="s">
        <v>818</v>
      </c>
      <c r="F67" s="100" t="s">
        <v>30</v>
      </c>
      <c r="G67" s="5" t="s">
        <v>43</v>
      </c>
      <c r="H67" s="5" t="s">
        <v>16</v>
      </c>
      <c r="I67" s="102">
        <v>1</v>
      </c>
      <c r="J67" s="124" t="s">
        <v>184</v>
      </c>
      <c r="K67" s="124" t="s">
        <v>172</v>
      </c>
      <c r="L67" s="155" t="s">
        <v>181</v>
      </c>
      <c r="M67" s="155" t="s">
        <v>101</v>
      </c>
      <c r="N67" s="124"/>
      <c r="O67" s="124"/>
      <c r="P67" s="124"/>
      <c r="Q67" s="124"/>
      <c r="R67" s="124"/>
      <c r="S67" s="124"/>
      <c r="T67" s="155" t="s">
        <v>108</v>
      </c>
      <c r="U67" s="155" t="s">
        <v>109</v>
      </c>
      <c r="V67" s="155" t="s">
        <v>160</v>
      </c>
      <c r="W67" s="124"/>
      <c r="X67" s="155"/>
      <c r="Y67" s="124"/>
      <c r="Z67" s="124"/>
      <c r="AA67" s="124"/>
      <c r="AB67" s="155" t="s">
        <v>161</v>
      </c>
      <c r="AC67" s="124"/>
      <c r="AD67" s="155" t="s">
        <v>165</v>
      </c>
      <c r="AE67" s="124"/>
      <c r="AF67" s="124"/>
      <c r="AG67" s="155"/>
      <c r="AH67" s="124"/>
      <c r="AI67" s="155" t="s">
        <v>122</v>
      </c>
      <c r="AJ67" s="155" t="s">
        <v>160</v>
      </c>
      <c r="AK67" s="155" t="s">
        <v>124</v>
      </c>
      <c r="AL67" s="124"/>
      <c r="AM67" s="124"/>
      <c r="AN67" s="124"/>
      <c r="AO67" s="124"/>
      <c r="AP67" s="124" t="s">
        <v>127</v>
      </c>
      <c r="AQ67" s="124"/>
      <c r="AR67" s="124"/>
      <c r="AS67" s="124" t="s">
        <v>130</v>
      </c>
      <c r="AT67" s="124"/>
      <c r="AU67" s="124"/>
      <c r="AV67" s="124"/>
      <c r="AW67" s="124"/>
      <c r="AX67" s="124"/>
      <c r="AY67" s="124"/>
      <c r="AZ67" s="124"/>
      <c r="BA67" s="124"/>
      <c r="BB67" s="124"/>
      <c r="BC67" s="124"/>
      <c r="BD67" s="124" t="s">
        <v>138</v>
      </c>
      <c r="BE67" s="124"/>
      <c r="BF67" s="124"/>
      <c r="BG67" s="124" t="s">
        <v>141</v>
      </c>
      <c r="BH67" s="124"/>
      <c r="BI67" s="124"/>
      <c r="BJ67" s="124"/>
      <c r="BK67" s="124" t="s">
        <v>142</v>
      </c>
      <c r="BL67" s="124"/>
      <c r="BM67" s="124"/>
      <c r="BN67" s="124"/>
      <c r="BO67" s="124"/>
      <c r="BP67" s="124"/>
      <c r="BQ67" s="124" t="s">
        <v>165</v>
      </c>
      <c r="BR67" s="124"/>
      <c r="BS67" s="124"/>
      <c r="BT67" s="124" t="s">
        <v>149</v>
      </c>
      <c r="BU67" s="124" t="s">
        <v>150</v>
      </c>
      <c r="BV67" s="124"/>
      <c r="BW67" s="124"/>
      <c r="BX67" s="124" t="s">
        <v>166</v>
      </c>
      <c r="BY67" s="124" t="s">
        <v>167</v>
      </c>
      <c r="BZ67" s="124" t="s">
        <v>168</v>
      </c>
      <c r="CA67" s="124" t="s">
        <v>170</v>
      </c>
      <c r="CB67" s="124"/>
      <c r="CC67" s="124" t="s">
        <v>169</v>
      </c>
    </row>
    <row r="68" spans="1:82" ht="14.5" x14ac:dyDescent="0.35">
      <c r="A68">
        <v>38</v>
      </c>
      <c r="B68" s="343"/>
      <c r="C68" s="123">
        <v>46044.596168981479</v>
      </c>
      <c r="D68" s="5" t="s">
        <v>699</v>
      </c>
      <c r="E68" s="236" t="s">
        <v>815</v>
      </c>
      <c r="F68" s="100" t="s">
        <v>30</v>
      </c>
      <c r="G68" s="5" t="s">
        <v>43</v>
      </c>
      <c r="H68" s="5" t="s">
        <v>63</v>
      </c>
      <c r="I68" s="102">
        <v>1</v>
      </c>
      <c r="J68" s="124" t="s">
        <v>184</v>
      </c>
      <c r="K68" s="124" t="s">
        <v>158</v>
      </c>
      <c r="L68" s="155" t="s">
        <v>173</v>
      </c>
      <c r="M68" s="155"/>
      <c r="N68" s="124"/>
      <c r="O68" s="124"/>
      <c r="P68" s="124"/>
      <c r="Q68" s="124"/>
      <c r="R68" s="124"/>
      <c r="S68" s="124"/>
      <c r="T68" s="155"/>
      <c r="U68" s="155"/>
      <c r="V68" s="155"/>
      <c r="W68" s="124"/>
      <c r="X68" s="155"/>
      <c r="Y68" s="124"/>
      <c r="Z68" s="124" t="s">
        <v>114</v>
      </c>
      <c r="AA68" s="124"/>
      <c r="AB68" s="155" t="s">
        <v>182</v>
      </c>
      <c r="AC68" s="124"/>
      <c r="AD68" s="155" t="s">
        <v>165</v>
      </c>
      <c r="AE68" s="124"/>
      <c r="AF68" s="124"/>
      <c r="AG68" s="155"/>
      <c r="AH68" s="124"/>
      <c r="AI68" s="155" t="s">
        <v>122</v>
      </c>
      <c r="AJ68" s="155" t="s">
        <v>160</v>
      </c>
      <c r="AK68" s="155"/>
      <c r="AL68" s="124"/>
      <c r="AM68" s="124"/>
      <c r="AN68" s="124"/>
      <c r="AO68" s="124"/>
      <c r="AP68" s="124" t="s">
        <v>127</v>
      </c>
      <c r="AQ68" s="124"/>
      <c r="AR68" s="124" t="s">
        <v>129</v>
      </c>
      <c r="AS68" s="124" t="s">
        <v>130</v>
      </c>
      <c r="AT68" s="124"/>
      <c r="AU68" s="124"/>
      <c r="AV68" s="124"/>
      <c r="AW68" s="124"/>
      <c r="AX68" s="124"/>
      <c r="AY68" s="124"/>
      <c r="AZ68" s="124"/>
      <c r="BA68" s="124"/>
      <c r="BB68" s="124"/>
      <c r="BC68" s="124"/>
      <c r="BD68" s="124" t="s">
        <v>138</v>
      </c>
      <c r="BE68" s="124"/>
      <c r="BF68" s="124" t="s">
        <v>140</v>
      </c>
      <c r="BG68" s="124" t="s">
        <v>141</v>
      </c>
      <c r="BH68" s="124"/>
      <c r="BI68" s="124"/>
      <c r="BJ68" s="124"/>
      <c r="BK68" s="124" t="s">
        <v>142</v>
      </c>
      <c r="BL68" s="124"/>
      <c r="BM68" s="124"/>
      <c r="BN68" s="124"/>
      <c r="BO68" s="124"/>
      <c r="BP68" s="124"/>
      <c r="BQ68" s="124" t="s">
        <v>174</v>
      </c>
      <c r="BR68" s="124"/>
      <c r="BS68" s="124" t="s">
        <v>148</v>
      </c>
      <c r="BT68" s="124"/>
      <c r="BU68" s="124"/>
      <c r="BV68" s="124"/>
      <c r="BW68" s="124"/>
      <c r="BX68" s="124" t="s">
        <v>176</v>
      </c>
      <c r="BY68" s="124" t="s">
        <v>177</v>
      </c>
      <c r="BZ68" s="124" t="s">
        <v>168</v>
      </c>
      <c r="CA68" s="124" t="s">
        <v>169</v>
      </c>
      <c r="CB68" s="124"/>
      <c r="CC68" s="124" t="s">
        <v>169</v>
      </c>
    </row>
    <row r="69" spans="1:82" ht="14.5" x14ac:dyDescent="0.35">
      <c r="A69">
        <v>37</v>
      </c>
      <c r="B69" s="343"/>
      <c r="C69" s="123">
        <v>46044.586365740739</v>
      </c>
      <c r="D69" s="5" t="s">
        <v>700</v>
      </c>
      <c r="E69" s="236" t="s">
        <v>817</v>
      </c>
      <c r="F69" s="100" t="s">
        <v>42</v>
      </c>
      <c r="G69" s="5" t="s">
        <v>31</v>
      </c>
      <c r="H69" s="5" t="s">
        <v>63</v>
      </c>
      <c r="I69" s="101" t="s">
        <v>32</v>
      </c>
      <c r="J69" s="124" t="s">
        <v>180</v>
      </c>
      <c r="K69" s="124" t="s">
        <v>158</v>
      </c>
      <c r="L69" s="155" t="s">
        <v>159</v>
      </c>
      <c r="M69" s="155"/>
      <c r="N69" s="124"/>
      <c r="O69" s="124"/>
      <c r="P69" s="124"/>
      <c r="Q69" s="124"/>
      <c r="R69" s="124"/>
      <c r="S69" s="124"/>
      <c r="T69" s="155"/>
      <c r="U69" s="155"/>
      <c r="V69" s="155"/>
      <c r="W69" s="124"/>
      <c r="X69" s="155"/>
      <c r="Y69" s="124"/>
      <c r="Z69" s="124" t="s">
        <v>114</v>
      </c>
      <c r="AA69" s="124"/>
      <c r="AB69" s="155" t="s">
        <v>161</v>
      </c>
      <c r="AC69" s="124"/>
      <c r="AD69" s="155" t="s">
        <v>165</v>
      </c>
      <c r="AE69" s="124"/>
      <c r="AF69" s="124"/>
      <c r="AG69" s="155"/>
      <c r="AH69" s="124"/>
      <c r="AI69" s="155" t="s">
        <v>122</v>
      </c>
      <c r="AJ69" s="155" t="s">
        <v>160</v>
      </c>
      <c r="AK69" s="155" t="s">
        <v>124</v>
      </c>
      <c r="AL69" s="124"/>
      <c r="AM69" s="124"/>
      <c r="AN69" s="124"/>
      <c r="AO69" s="124"/>
      <c r="AP69" s="124"/>
      <c r="AQ69" s="124" t="s">
        <v>128</v>
      </c>
      <c r="AR69" s="124" t="s">
        <v>129</v>
      </c>
      <c r="AS69" s="124" t="s">
        <v>130</v>
      </c>
      <c r="AT69" s="124" t="s">
        <v>131</v>
      </c>
      <c r="AU69" s="124"/>
      <c r="AV69" s="124"/>
      <c r="AW69" s="124"/>
      <c r="AX69" s="124"/>
      <c r="AY69" s="124"/>
      <c r="AZ69" s="124"/>
      <c r="BA69" s="124"/>
      <c r="BB69" s="124" t="s">
        <v>136</v>
      </c>
      <c r="BC69" s="124"/>
      <c r="BD69" s="124" t="s">
        <v>138</v>
      </c>
      <c r="BE69" s="124" t="s">
        <v>139</v>
      </c>
      <c r="BF69" s="124" t="s">
        <v>140</v>
      </c>
      <c r="BG69" s="124"/>
      <c r="BH69" s="124"/>
      <c r="BI69" s="124"/>
      <c r="BJ69" s="124"/>
      <c r="BK69" s="124" t="s">
        <v>142</v>
      </c>
      <c r="BL69" s="124" t="s">
        <v>143</v>
      </c>
      <c r="BM69" s="124" t="s">
        <v>144</v>
      </c>
      <c r="BN69" s="124"/>
      <c r="BO69" s="124"/>
      <c r="BP69" s="124"/>
      <c r="BQ69" s="124" t="s">
        <v>165</v>
      </c>
      <c r="BR69" s="124" t="s">
        <v>147</v>
      </c>
      <c r="BS69" s="124"/>
      <c r="BT69" s="124" t="s">
        <v>149</v>
      </c>
      <c r="BU69" s="124" t="s">
        <v>150</v>
      </c>
      <c r="BV69" s="124"/>
      <c r="BW69" s="124"/>
      <c r="BX69" s="124" t="s">
        <v>166</v>
      </c>
      <c r="BY69" s="124" t="s">
        <v>177</v>
      </c>
      <c r="BZ69" s="124" t="s">
        <v>168</v>
      </c>
      <c r="CA69" s="124" t="s">
        <v>170</v>
      </c>
      <c r="CB69" s="124"/>
      <c r="CC69" s="124" t="s">
        <v>170</v>
      </c>
      <c r="CD69" s="305" t="s">
        <v>160</v>
      </c>
    </row>
    <row r="70" spans="1:82" thickBot="1" x14ac:dyDescent="0.4">
      <c r="A70">
        <v>36</v>
      </c>
      <c r="B70" s="343"/>
      <c r="C70" s="123">
        <v>46044.429236111115</v>
      </c>
      <c r="D70" s="5" t="s">
        <v>701</v>
      </c>
      <c r="E70" s="236" t="s">
        <v>818</v>
      </c>
      <c r="F70" s="100" t="s">
        <v>42</v>
      </c>
      <c r="G70" s="5" t="s">
        <v>43</v>
      </c>
      <c r="H70" s="5" t="s">
        <v>63</v>
      </c>
      <c r="I70" s="102">
        <v>1</v>
      </c>
      <c r="J70" s="124" t="s">
        <v>180</v>
      </c>
      <c r="K70" s="124" t="s">
        <v>158</v>
      </c>
      <c r="L70" s="155" t="s">
        <v>203</v>
      </c>
      <c r="M70" s="155"/>
      <c r="N70" s="124"/>
      <c r="O70" s="124"/>
      <c r="P70" s="124"/>
      <c r="Q70" s="124"/>
      <c r="R70" s="124"/>
      <c r="S70" s="124"/>
      <c r="T70" s="155"/>
      <c r="U70" s="155"/>
      <c r="V70" s="155"/>
      <c r="W70" s="124"/>
      <c r="X70" s="155"/>
      <c r="Y70" s="124" t="s">
        <v>113</v>
      </c>
      <c r="Z70" s="124"/>
      <c r="AA70" s="124" t="s">
        <v>247</v>
      </c>
      <c r="AB70" s="155" t="s">
        <v>182</v>
      </c>
      <c r="AC70" s="124"/>
      <c r="AD70" s="155" t="s">
        <v>162</v>
      </c>
      <c r="AE70" s="124"/>
      <c r="AF70" s="124"/>
      <c r="AG70" s="155"/>
      <c r="AH70" s="124" t="s">
        <v>121</v>
      </c>
      <c r="AI70" s="155" t="s">
        <v>160</v>
      </c>
      <c r="AJ70" s="155" t="s">
        <v>123</v>
      </c>
      <c r="AK70" s="155" t="s">
        <v>160</v>
      </c>
      <c r="AL70" s="124"/>
      <c r="AM70" s="124"/>
      <c r="AN70" s="124"/>
      <c r="AO70" s="124"/>
      <c r="AP70" s="124"/>
      <c r="AQ70" s="124"/>
      <c r="AR70" s="124"/>
      <c r="AS70" s="124" t="s">
        <v>130</v>
      </c>
      <c r="AT70" s="124"/>
      <c r="AU70" s="124"/>
      <c r="AV70" s="124"/>
      <c r="AW70" s="124"/>
      <c r="AX70" s="124"/>
      <c r="AY70" s="124" t="s">
        <v>134</v>
      </c>
      <c r="AZ70" s="124" t="s">
        <v>135</v>
      </c>
      <c r="BA70" s="124"/>
      <c r="BB70" s="124"/>
      <c r="BC70" s="124" t="s">
        <v>137</v>
      </c>
      <c r="BD70" s="124"/>
      <c r="BE70" s="124"/>
      <c r="BF70" s="124"/>
      <c r="BG70" s="124"/>
      <c r="BH70" s="124"/>
      <c r="BI70" s="124"/>
      <c r="BJ70" s="124"/>
      <c r="BK70" s="124"/>
      <c r="BL70" s="124" t="s">
        <v>143</v>
      </c>
      <c r="BM70" s="124" t="s">
        <v>144</v>
      </c>
      <c r="BN70" s="124"/>
      <c r="BO70" s="124"/>
      <c r="BP70" s="124"/>
      <c r="BQ70" s="124" t="s">
        <v>165</v>
      </c>
      <c r="BR70" s="124" t="s">
        <v>147</v>
      </c>
      <c r="BS70" s="124"/>
      <c r="BT70" s="124"/>
      <c r="BU70" s="124"/>
      <c r="BV70" s="130"/>
      <c r="BW70" s="130"/>
      <c r="BX70" s="130" t="s">
        <v>176</v>
      </c>
      <c r="BY70" s="130" t="s">
        <v>167</v>
      </c>
      <c r="BZ70" s="130" t="s">
        <v>178</v>
      </c>
      <c r="CA70" s="130" t="s">
        <v>170</v>
      </c>
      <c r="CB70" s="130"/>
      <c r="CC70" s="130" t="s">
        <v>170</v>
      </c>
      <c r="CD70" s="305" t="s">
        <v>160</v>
      </c>
    </row>
    <row r="71" spans="1:82" ht="14.5" x14ac:dyDescent="0.35">
      <c r="A71">
        <v>35</v>
      </c>
      <c r="B71" s="343"/>
      <c r="C71" s="123">
        <v>46044.415810185186</v>
      </c>
      <c r="D71" s="5" t="s">
        <v>702</v>
      </c>
      <c r="E71" s="236" t="s">
        <v>815</v>
      </c>
      <c r="F71" s="10" t="s">
        <v>12</v>
      </c>
      <c r="G71" s="5" t="s">
        <v>31</v>
      </c>
      <c r="H71" s="5" t="s">
        <v>26</v>
      </c>
      <c r="I71" s="101" t="s">
        <v>32</v>
      </c>
      <c r="J71" s="124" t="s">
        <v>184</v>
      </c>
      <c r="K71" s="124" t="s">
        <v>191</v>
      </c>
      <c r="L71" s="155" t="s">
        <v>159</v>
      </c>
      <c r="M71" s="155"/>
      <c r="N71" s="124"/>
      <c r="O71" s="124"/>
      <c r="P71" s="124"/>
      <c r="Q71" s="124"/>
      <c r="R71" s="124"/>
      <c r="S71" s="124"/>
      <c r="T71" s="155" t="s">
        <v>108</v>
      </c>
      <c r="U71" s="155" t="s">
        <v>109</v>
      </c>
      <c r="V71" s="155" t="s">
        <v>160</v>
      </c>
      <c r="W71" s="124"/>
      <c r="X71" s="155"/>
      <c r="Y71" s="124"/>
      <c r="Z71" s="124"/>
      <c r="AA71" s="124"/>
      <c r="AB71" s="155" t="s">
        <v>161</v>
      </c>
      <c r="AC71" s="124"/>
      <c r="AD71" s="155" t="s">
        <v>185</v>
      </c>
      <c r="AE71" s="124" t="s">
        <v>118</v>
      </c>
      <c r="AF71" s="124" t="s">
        <v>160</v>
      </c>
      <c r="AG71" s="155"/>
      <c r="AH71" s="124"/>
      <c r="AI71" s="155"/>
      <c r="AJ71" s="155"/>
      <c r="AK71" s="155"/>
      <c r="AL71" s="124"/>
      <c r="AM71" s="124"/>
      <c r="AN71" s="124"/>
      <c r="AO71" s="124"/>
      <c r="AP71" s="124" t="s">
        <v>127</v>
      </c>
      <c r="AQ71" s="124" t="s">
        <v>128</v>
      </c>
      <c r="AR71" s="124" t="s">
        <v>129</v>
      </c>
      <c r="AS71" s="124" t="s">
        <v>130</v>
      </c>
      <c r="AT71" s="124" t="s">
        <v>131</v>
      </c>
      <c r="AU71" s="124"/>
      <c r="AV71" s="124"/>
      <c r="AW71" s="124"/>
      <c r="AX71" s="124"/>
      <c r="AY71" s="124"/>
      <c r="AZ71" s="124"/>
      <c r="BA71" s="124" t="s">
        <v>121</v>
      </c>
      <c r="BB71" s="124"/>
      <c r="BC71" s="124"/>
      <c r="BD71" s="124" t="s">
        <v>138</v>
      </c>
      <c r="BE71" s="124" t="s">
        <v>139</v>
      </c>
      <c r="BF71" s="124"/>
      <c r="BG71" s="124"/>
      <c r="BH71" s="124"/>
      <c r="BI71" s="124"/>
      <c r="BJ71" s="124"/>
      <c r="BK71" s="124" t="s">
        <v>142</v>
      </c>
      <c r="BL71" s="124"/>
      <c r="BM71" s="124"/>
      <c r="BN71" s="124"/>
      <c r="BO71" s="124"/>
      <c r="BP71" s="124"/>
      <c r="BQ71" s="124" t="s">
        <v>165</v>
      </c>
      <c r="BR71" s="124" t="s">
        <v>147</v>
      </c>
      <c r="BS71" s="124"/>
      <c r="BT71" s="124"/>
      <c r="BU71" s="124" t="s">
        <v>150</v>
      </c>
      <c r="BV71" s="128" t="s">
        <v>113</v>
      </c>
      <c r="BW71" s="128" t="s">
        <v>248</v>
      </c>
      <c r="BX71" s="128" t="s">
        <v>166</v>
      </c>
      <c r="BY71" s="128" t="s">
        <v>167</v>
      </c>
      <c r="BZ71" s="128" t="s">
        <v>165</v>
      </c>
      <c r="CA71" s="128" t="s">
        <v>170</v>
      </c>
      <c r="CB71" s="128" t="s">
        <v>249</v>
      </c>
      <c r="CC71" s="128" t="s">
        <v>169</v>
      </c>
    </row>
    <row r="72" spans="1:82" ht="14.5" x14ac:dyDescent="0.35">
      <c r="A72">
        <v>34</v>
      </c>
      <c r="B72" s="343"/>
      <c r="C72" s="123">
        <v>46044.411712962959</v>
      </c>
      <c r="D72" s="5" t="s">
        <v>703</v>
      </c>
      <c r="E72" s="236" t="s">
        <v>817</v>
      </c>
      <c r="F72" s="100" t="s">
        <v>36</v>
      </c>
      <c r="G72" s="5" t="s">
        <v>31</v>
      </c>
      <c r="H72" s="5" t="s">
        <v>26</v>
      </c>
      <c r="I72" s="101" t="s">
        <v>27</v>
      </c>
      <c r="J72" s="124" t="s">
        <v>184</v>
      </c>
      <c r="K72" s="124" t="s">
        <v>191</v>
      </c>
      <c r="L72" s="155" t="s">
        <v>203</v>
      </c>
      <c r="M72" s="155" t="s">
        <v>101</v>
      </c>
      <c r="N72" s="124"/>
      <c r="O72" s="124"/>
      <c r="P72" s="124"/>
      <c r="Q72" s="124"/>
      <c r="R72" s="124"/>
      <c r="S72" s="124"/>
      <c r="T72" s="155"/>
      <c r="U72" s="155" t="s">
        <v>109</v>
      </c>
      <c r="V72" s="155" t="s">
        <v>160</v>
      </c>
      <c r="W72" s="124"/>
      <c r="X72" s="155" t="s">
        <v>112</v>
      </c>
      <c r="Y72" s="124"/>
      <c r="Z72" s="124"/>
      <c r="AA72" s="124"/>
      <c r="AB72" s="155" t="s">
        <v>182</v>
      </c>
      <c r="AC72" s="124"/>
      <c r="AD72" s="155" t="s">
        <v>165</v>
      </c>
      <c r="AE72" s="124" t="s">
        <v>118</v>
      </c>
      <c r="AF72" s="124" t="s">
        <v>160</v>
      </c>
      <c r="AG72" s="155" t="s">
        <v>120</v>
      </c>
      <c r="AH72" s="124"/>
      <c r="AI72" s="155" t="s">
        <v>122</v>
      </c>
      <c r="AJ72" s="155" t="s">
        <v>160</v>
      </c>
      <c r="AK72" s="155"/>
      <c r="AL72" s="124"/>
      <c r="AM72" s="124"/>
      <c r="AN72" s="124"/>
      <c r="AO72" s="124"/>
      <c r="AP72" s="124"/>
      <c r="AQ72" s="124"/>
      <c r="AR72" s="124" t="s">
        <v>129</v>
      </c>
      <c r="AS72" s="124"/>
      <c r="AT72" s="124"/>
      <c r="AU72" s="124"/>
      <c r="AV72" s="124"/>
      <c r="AW72" s="124"/>
      <c r="AX72" s="124"/>
      <c r="AY72" s="124"/>
      <c r="AZ72" s="124"/>
      <c r="BA72" s="124"/>
      <c r="BB72" s="124"/>
      <c r="BC72" s="124"/>
      <c r="BD72" s="124"/>
      <c r="BE72" s="124"/>
      <c r="BF72" s="124" t="s">
        <v>140</v>
      </c>
      <c r="BG72" s="124" t="s">
        <v>141</v>
      </c>
      <c r="BH72" s="124"/>
      <c r="BI72" s="124"/>
      <c r="BJ72" s="124"/>
      <c r="BK72" s="124" t="s">
        <v>142</v>
      </c>
      <c r="BL72" s="124"/>
      <c r="BM72" s="124"/>
      <c r="BN72" s="124"/>
      <c r="BO72" s="124"/>
      <c r="BP72" s="124"/>
      <c r="BQ72" s="124" t="s">
        <v>174</v>
      </c>
      <c r="BR72" s="124" t="s">
        <v>147</v>
      </c>
      <c r="BS72" s="124"/>
      <c r="BT72" s="124"/>
      <c r="BU72" s="124"/>
      <c r="BV72" s="98" t="s">
        <v>249</v>
      </c>
      <c r="BW72" s="98" t="s">
        <v>249</v>
      </c>
      <c r="BX72" s="98" t="s">
        <v>176</v>
      </c>
      <c r="BY72" s="98" t="s">
        <v>177</v>
      </c>
      <c r="BZ72" s="98" t="s">
        <v>178</v>
      </c>
      <c r="CA72" s="98" t="s">
        <v>170</v>
      </c>
      <c r="CB72" s="98" t="s">
        <v>249</v>
      </c>
      <c r="CC72" s="98" t="s">
        <v>170</v>
      </c>
      <c r="CD72" s="304" t="s">
        <v>160</v>
      </c>
    </row>
    <row r="73" spans="1:82" ht="14.5" x14ac:dyDescent="0.35">
      <c r="A73">
        <v>33</v>
      </c>
      <c r="B73" s="343"/>
      <c r="C73" s="123">
        <v>46043.496180555558</v>
      </c>
      <c r="D73" s="5" t="s">
        <v>704</v>
      </c>
      <c r="E73" s="236" t="s">
        <v>818</v>
      </c>
      <c r="F73" s="100" t="s">
        <v>24</v>
      </c>
      <c r="G73" s="5" t="s">
        <v>43</v>
      </c>
      <c r="H73" s="5" t="s">
        <v>63</v>
      </c>
      <c r="I73" s="101" t="s">
        <v>27</v>
      </c>
      <c r="J73" s="124" t="s">
        <v>184</v>
      </c>
      <c r="K73" s="124" t="s">
        <v>158</v>
      </c>
      <c r="L73" s="155" t="s">
        <v>159</v>
      </c>
      <c r="M73" s="155"/>
      <c r="N73" s="124" t="s">
        <v>102</v>
      </c>
      <c r="O73" s="124"/>
      <c r="P73" s="124"/>
      <c r="Q73" s="124"/>
      <c r="R73" s="124"/>
      <c r="S73" s="124"/>
      <c r="T73" s="155" t="s">
        <v>108</v>
      </c>
      <c r="U73" s="155" t="s">
        <v>109</v>
      </c>
      <c r="V73" s="155" t="s">
        <v>160</v>
      </c>
      <c r="W73" s="124"/>
      <c r="X73" s="155"/>
      <c r="Y73" s="124"/>
      <c r="Z73" s="124"/>
      <c r="AA73" s="124"/>
      <c r="AB73" s="155" t="s">
        <v>161</v>
      </c>
      <c r="AC73" s="124"/>
      <c r="AD73" s="155" t="s">
        <v>165</v>
      </c>
      <c r="AE73" s="124"/>
      <c r="AF73" s="124"/>
      <c r="AG73" s="155"/>
      <c r="AH73" s="124"/>
      <c r="AI73" s="155" t="s">
        <v>122</v>
      </c>
      <c r="AJ73" s="155" t="s">
        <v>160</v>
      </c>
      <c r="AK73" s="155" t="s">
        <v>124</v>
      </c>
      <c r="AL73" s="124"/>
      <c r="AM73" s="124"/>
      <c r="AN73" s="124"/>
      <c r="AO73" s="124"/>
      <c r="AP73" s="124" t="s">
        <v>127</v>
      </c>
      <c r="AQ73" s="124"/>
      <c r="AR73" s="124"/>
      <c r="AS73" s="124" t="s">
        <v>130</v>
      </c>
      <c r="AT73" s="124" t="s">
        <v>131</v>
      </c>
      <c r="AU73" s="124"/>
      <c r="AV73" s="124"/>
      <c r="AW73" s="124"/>
      <c r="AX73" s="124"/>
      <c r="AY73" s="124"/>
      <c r="AZ73" s="124"/>
      <c r="BA73" s="124"/>
      <c r="BB73" s="124"/>
      <c r="BC73" s="124"/>
      <c r="BD73" s="124" t="s">
        <v>138</v>
      </c>
      <c r="BE73" s="124"/>
      <c r="BF73" s="124"/>
      <c r="BG73" s="124"/>
      <c r="BH73" s="124"/>
      <c r="BI73" s="124"/>
      <c r="BJ73" s="124"/>
      <c r="BK73" s="124" t="s">
        <v>142</v>
      </c>
      <c r="BL73" s="124"/>
      <c r="BM73" s="124"/>
      <c r="BN73" s="124"/>
      <c r="BO73" s="124" t="s">
        <v>113</v>
      </c>
      <c r="BP73" s="124" t="s">
        <v>250</v>
      </c>
      <c r="BQ73" s="124" t="s">
        <v>174</v>
      </c>
      <c r="BR73" s="124"/>
      <c r="BS73" s="124" t="s">
        <v>148</v>
      </c>
      <c r="BT73" s="124" t="s">
        <v>149</v>
      </c>
      <c r="BU73" s="124"/>
      <c r="BV73" s="98" t="s">
        <v>249</v>
      </c>
      <c r="BW73" s="98" t="s">
        <v>249</v>
      </c>
      <c r="BX73" s="98" t="s">
        <v>166</v>
      </c>
      <c r="BY73" s="98" t="s">
        <v>177</v>
      </c>
      <c r="BZ73" s="98" t="s">
        <v>178</v>
      </c>
      <c r="CA73" s="98" t="s">
        <v>169</v>
      </c>
      <c r="CB73" s="98" t="s">
        <v>249</v>
      </c>
      <c r="CC73" s="98" t="s">
        <v>169</v>
      </c>
    </row>
    <row r="74" spans="1:82" ht="14.5" x14ac:dyDescent="0.35">
      <c r="A74">
        <v>32</v>
      </c>
      <c r="B74" s="343"/>
      <c r="C74" s="123">
        <v>46042.517928240741</v>
      </c>
      <c r="D74" s="5" t="s">
        <v>705</v>
      </c>
      <c r="E74" s="236" t="s">
        <v>815</v>
      </c>
      <c r="F74" s="100" t="s">
        <v>12</v>
      </c>
      <c r="G74" s="5" t="s">
        <v>31</v>
      </c>
      <c r="H74" s="5" t="s">
        <v>26</v>
      </c>
      <c r="I74" s="102">
        <v>1</v>
      </c>
      <c r="J74" s="124" t="s">
        <v>184</v>
      </c>
      <c r="K74" s="124" t="s">
        <v>158</v>
      </c>
      <c r="L74" s="155" t="s">
        <v>203</v>
      </c>
      <c r="M74" s="155" t="s">
        <v>101</v>
      </c>
      <c r="N74" s="124"/>
      <c r="O74" s="124"/>
      <c r="P74" s="124"/>
      <c r="Q74" s="124"/>
      <c r="R74" s="124"/>
      <c r="S74" s="124"/>
      <c r="T74" s="155"/>
      <c r="U74" s="155" t="s">
        <v>109</v>
      </c>
      <c r="V74" s="155" t="s">
        <v>160</v>
      </c>
      <c r="W74" s="124"/>
      <c r="X74" s="155"/>
      <c r="Y74" s="124"/>
      <c r="Z74" s="124"/>
      <c r="AA74" s="124"/>
      <c r="AB74" s="155" t="s">
        <v>182</v>
      </c>
      <c r="AC74" s="124"/>
      <c r="AD74" s="155" t="s">
        <v>165</v>
      </c>
      <c r="AE74" s="124"/>
      <c r="AF74" s="124"/>
      <c r="AG74" s="155"/>
      <c r="AH74" s="124"/>
      <c r="AI74" s="155" t="s">
        <v>122</v>
      </c>
      <c r="AJ74" s="155" t="s">
        <v>160</v>
      </c>
      <c r="AK74" s="155"/>
      <c r="AL74" s="124"/>
      <c r="AM74" s="124"/>
      <c r="AN74" s="124"/>
      <c r="AO74" s="124"/>
      <c r="AP74" s="124" t="s">
        <v>127</v>
      </c>
      <c r="AQ74" s="124"/>
      <c r="AR74" s="124" t="s">
        <v>129</v>
      </c>
      <c r="AS74" s="124" t="s">
        <v>130</v>
      </c>
      <c r="AT74" s="124"/>
      <c r="AU74" s="124"/>
      <c r="AV74" s="124"/>
      <c r="AW74" s="124"/>
      <c r="AX74" s="124"/>
      <c r="AY74" s="124" t="s">
        <v>134</v>
      </c>
      <c r="AZ74" s="124" t="s">
        <v>135</v>
      </c>
      <c r="BA74" s="124"/>
      <c r="BB74" s="124"/>
      <c r="BC74" s="124"/>
      <c r="BD74" s="124" t="s">
        <v>138</v>
      </c>
      <c r="BE74" s="124"/>
      <c r="BF74" s="124" t="s">
        <v>140</v>
      </c>
      <c r="BG74" s="124" t="s">
        <v>141</v>
      </c>
      <c r="BH74" s="124"/>
      <c r="BI74" s="124"/>
      <c r="BJ74" s="124"/>
      <c r="BK74" s="124" t="s">
        <v>142</v>
      </c>
      <c r="BL74" s="124"/>
      <c r="BM74" s="124"/>
      <c r="BN74" s="124"/>
      <c r="BO74" s="124"/>
      <c r="BP74" s="124"/>
      <c r="BQ74" s="124" t="s">
        <v>174</v>
      </c>
      <c r="BR74" s="124" t="s">
        <v>147</v>
      </c>
      <c r="BS74" s="124"/>
      <c r="BT74" s="124"/>
      <c r="BU74" s="124"/>
      <c r="BV74" s="98" t="s">
        <v>249</v>
      </c>
      <c r="BW74" s="98" t="s">
        <v>249</v>
      </c>
      <c r="BX74" s="98" t="s">
        <v>166</v>
      </c>
      <c r="BY74" s="98" t="s">
        <v>167</v>
      </c>
      <c r="BZ74" s="98" t="s">
        <v>168</v>
      </c>
      <c r="CA74" s="98" t="s">
        <v>170</v>
      </c>
      <c r="CB74" s="98" t="s">
        <v>249</v>
      </c>
      <c r="CC74" s="98" t="s">
        <v>170</v>
      </c>
      <c r="CD74" s="304" t="s">
        <v>160</v>
      </c>
    </row>
    <row r="75" spans="1:82" ht="14.5" x14ac:dyDescent="0.35">
      <c r="A75">
        <v>31</v>
      </c>
      <c r="B75" s="343"/>
      <c r="C75" s="123">
        <v>46042.4143287037</v>
      </c>
      <c r="D75" s="5" t="s">
        <v>706</v>
      </c>
      <c r="E75" s="236" t="s">
        <v>817</v>
      </c>
      <c r="F75" s="100" t="s">
        <v>49</v>
      </c>
      <c r="G75" s="5" t="s">
        <v>43</v>
      </c>
      <c r="H75" s="5" t="s">
        <v>26</v>
      </c>
      <c r="I75" s="102">
        <v>1</v>
      </c>
      <c r="J75" s="124" t="s">
        <v>180</v>
      </c>
      <c r="K75" s="124" t="s">
        <v>158</v>
      </c>
      <c r="L75" s="155" t="s">
        <v>159</v>
      </c>
      <c r="M75" s="155" t="s">
        <v>101</v>
      </c>
      <c r="N75" s="124"/>
      <c r="O75" s="124"/>
      <c r="P75" s="124"/>
      <c r="Q75" s="124"/>
      <c r="R75" s="124" t="s">
        <v>106</v>
      </c>
      <c r="S75" s="124"/>
      <c r="T75" s="155"/>
      <c r="U75" s="155" t="s">
        <v>109</v>
      </c>
      <c r="V75" s="155" t="s">
        <v>160</v>
      </c>
      <c r="W75" s="124"/>
      <c r="X75" s="155"/>
      <c r="Y75" s="124"/>
      <c r="Z75" s="124"/>
      <c r="AA75" s="124"/>
      <c r="AB75" s="155" t="s">
        <v>182</v>
      </c>
      <c r="AC75" s="124"/>
      <c r="AD75" s="155" t="s">
        <v>165</v>
      </c>
      <c r="AE75" s="124"/>
      <c r="AF75" s="124"/>
      <c r="AG75" s="155"/>
      <c r="AH75" s="124"/>
      <c r="AI75" s="155" t="s">
        <v>122</v>
      </c>
      <c r="AJ75" s="155" t="s">
        <v>123</v>
      </c>
      <c r="AK75" s="155" t="s">
        <v>124</v>
      </c>
      <c r="AL75" s="124"/>
      <c r="AM75" s="124"/>
      <c r="AN75" s="124"/>
      <c r="AO75" s="124"/>
      <c r="AP75" s="124"/>
      <c r="AQ75" s="124"/>
      <c r="AR75" s="124"/>
      <c r="AS75" s="124" t="s">
        <v>130</v>
      </c>
      <c r="AT75" s="124" t="s">
        <v>131</v>
      </c>
      <c r="AU75" s="124" t="s">
        <v>113</v>
      </c>
      <c r="AV75" s="124"/>
      <c r="AW75" s="124" t="s">
        <v>251</v>
      </c>
      <c r="AX75" s="124"/>
      <c r="AY75" s="124" t="s">
        <v>134</v>
      </c>
      <c r="AZ75" s="124"/>
      <c r="BA75" s="124" t="s">
        <v>121</v>
      </c>
      <c r="BB75" s="124"/>
      <c r="BC75" s="124" t="s">
        <v>137</v>
      </c>
      <c r="BD75" s="124" t="s">
        <v>138</v>
      </c>
      <c r="BE75" s="124" t="s">
        <v>139</v>
      </c>
      <c r="BF75" s="124" t="s">
        <v>140</v>
      </c>
      <c r="BG75" s="124" t="s">
        <v>141</v>
      </c>
      <c r="BH75" s="124"/>
      <c r="BI75" s="124"/>
      <c r="BJ75" s="124"/>
      <c r="BK75" s="124"/>
      <c r="BL75" s="124" t="s">
        <v>143</v>
      </c>
      <c r="BM75" s="124" t="s">
        <v>144</v>
      </c>
      <c r="BN75" s="124"/>
      <c r="BO75" s="124" t="s">
        <v>113</v>
      </c>
      <c r="BP75" s="124" t="s">
        <v>252</v>
      </c>
      <c r="BQ75" s="124" t="s">
        <v>165</v>
      </c>
      <c r="BR75" s="124" t="s">
        <v>147</v>
      </c>
      <c r="BS75" s="124"/>
      <c r="BT75" s="124"/>
      <c r="BU75" s="124" t="s">
        <v>150</v>
      </c>
      <c r="BV75" s="98" t="s">
        <v>249</v>
      </c>
      <c r="BW75" s="98" t="s">
        <v>249</v>
      </c>
      <c r="BX75" s="98" t="s">
        <v>176</v>
      </c>
      <c r="BY75" s="98" t="s">
        <v>177</v>
      </c>
      <c r="BZ75" s="98" t="s">
        <v>168</v>
      </c>
      <c r="CA75" s="98" t="s">
        <v>170</v>
      </c>
      <c r="CB75" s="98" t="s">
        <v>249</v>
      </c>
      <c r="CC75" s="98" t="s">
        <v>170</v>
      </c>
      <c r="CD75" s="304" t="s">
        <v>160</v>
      </c>
    </row>
    <row r="76" spans="1:82" ht="14.5" x14ac:dyDescent="0.35">
      <c r="A76">
        <v>30</v>
      </c>
      <c r="B76" s="343"/>
      <c r="C76" s="123">
        <v>46035.637986111113</v>
      </c>
      <c r="D76" s="5" t="s">
        <v>707</v>
      </c>
      <c r="E76" s="236" t="s">
        <v>818</v>
      </c>
      <c r="F76" s="100" t="s">
        <v>39</v>
      </c>
      <c r="G76" s="5" t="s">
        <v>31</v>
      </c>
      <c r="H76" s="5" t="s">
        <v>26</v>
      </c>
      <c r="I76" s="101" t="s">
        <v>27</v>
      </c>
      <c r="J76" s="124" t="s">
        <v>171</v>
      </c>
      <c r="K76" s="124" t="s">
        <v>191</v>
      </c>
      <c r="L76" s="155" t="s">
        <v>159</v>
      </c>
      <c r="M76" s="124"/>
      <c r="N76" s="124"/>
      <c r="O76" s="124"/>
      <c r="P76" s="124"/>
      <c r="Q76" s="124"/>
      <c r="R76" s="124"/>
      <c r="S76" s="124"/>
      <c r="T76" s="155" t="s">
        <v>108</v>
      </c>
      <c r="U76" s="155" t="s">
        <v>109</v>
      </c>
      <c r="V76" s="155" t="s">
        <v>160</v>
      </c>
      <c r="W76" s="124"/>
      <c r="X76" s="155" t="s">
        <v>112</v>
      </c>
      <c r="Y76" s="124"/>
      <c r="Z76" s="124"/>
      <c r="AA76" s="124"/>
      <c r="AB76" s="155" t="s">
        <v>161</v>
      </c>
      <c r="AC76" s="124"/>
      <c r="AD76" s="155" t="s">
        <v>162</v>
      </c>
      <c r="AE76" s="124"/>
      <c r="AF76" s="124"/>
      <c r="AG76" s="155" t="s">
        <v>120</v>
      </c>
      <c r="AH76" s="124"/>
      <c r="AI76" s="155" t="s">
        <v>122</v>
      </c>
      <c r="AJ76" s="155" t="s">
        <v>160</v>
      </c>
      <c r="AK76" s="155" t="s">
        <v>124</v>
      </c>
      <c r="AL76" s="124"/>
      <c r="AM76" s="124"/>
      <c r="AN76" s="124"/>
      <c r="AO76" s="124"/>
      <c r="AP76" s="124" t="s">
        <v>127</v>
      </c>
      <c r="AQ76" s="124"/>
      <c r="AR76" s="124" t="s">
        <v>129</v>
      </c>
      <c r="AS76" s="124"/>
      <c r="AT76" s="124" t="s">
        <v>131</v>
      </c>
      <c r="AU76" s="124"/>
      <c r="AV76" s="124"/>
      <c r="AW76" s="124"/>
      <c r="AX76" s="124"/>
      <c r="AY76" s="124"/>
      <c r="AZ76" s="124"/>
      <c r="BA76" s="124"/>
      <c r="BB76" s="124"/>
      <c r="BC76" s="124"/>
      <c r="BD76" s="124"/>
      <c r="BE76" s="124"/>
      <c r="BF76" s="124" t="s">
        <v>140</v>
      </c>
      <c r="BG76" s="124" t="s">
        <v>141</v>
      </c>
      <c r="BH76" s="124"/>
      <c r="BI76" s="124"/>
      <c r="BJ76" s="124"/>
      <c r="BK76" s="124" t="s">
        <v>142</v>
      </c>
      <c r="BL76" s="124"/>
      <c r="BM76" s="124" t="s">
        <v>144</v>
      </c>
      <c r="BN76" s="124"/>
      <c r="BO76" s="124"/>
      <c r="BP76" s="124"/>
      <c r="BQ76" s="124" t="s">
        <v>165</v>
      </c>
      <c r="BR76" s="124" t="s">
        <v>147</v>
      </c>
      <c r="BS76" s="124"/>
      <c r="BT76" s="124"/>
      <c r="BU76" s="124"/>
      <c r="BV76" s="98" t="s">
        <v>113</v>
      </c>
      <c r="BW76" s="98" t="s">
        <v>253</v>
      </c>
      <c r="BX76" s="98" t="s">
        <v>166</v>
      </c>
      <c r="BY76" s="98" t="s">
        <v>177</v>
      </c>
      <c r="BZ76" s="98" t="s">
        <v>165</v>
      </c>
      <c r="CA76" s="98" t="s">
        <v>170</v>
      </c>
      <c r="CB76" s="98" t="s">
        <v>249</v>
      </c>
      <c r="CC76" s="98" t="s">
        <v>169</v>
      </c>
    </row>
    <row r="77" spans="1:82" thickBot="1" x14ac:dyDescent="0.4">
      <c r="A77">
        <v>29</v>
      </c>
      <c r="B77" s="343"/>
      <c r="C77" s="123">
        <v>46034.348680555559</v>
      </c>
      <c r="D77" s="5" t="s">
        <v>708</v>
      </c>
      <c r="E77" s="236" t="s">
        <v>815</v>
      </c>
      <c r="F77" s="100" t="s">
        <v>24</v>
      </c>
      <c r="G77" s="5" t="s">
        <v>31</v>
      </c>
      <c r="H77" s="5" t="s">
        <v>26</v>
      </c>
      <c r="I77" s="101" t="s">
        <v>27</v>
      </c>
      <c r="J77" s="124" t="s">
        <v>171</v>
      </c>
      <c r="K77" s="124" t="s">
        <v>158</v>
      </c>
      <c r="L77" s="155" t="s">
        <v>203</v>
      </c>
      <c r="M77" s="124"/>
      <c r="N77" s="124"/>
      <c r="O77" s="124"/>
      <c r="P77" s="124" t="s">
        <v>104</v>
      </c>
      <c r="Q77" s="124"/>
      <c r="R77" s="124" t="s">
        <v>106</v>
      </c>
      <c r="S77" s="124"/>
      <c r="T77" s="155"/>
      <c r="U77" s="155" t="s">
        <v>109</v>
      </c>
      <c r="V77" s="155" t="s">
        <v>160</v>
      </c>
      <c r="W77" s="124"/>
      <c r="X77" s="155"/>
      <c r="Y77" s="124"/>
      <c r="Z77" s="124"/>
      <c r="AA77" s="124"/>
      <c r="AB77" s="155" t="s">
        <v>161</v>
      </c>
      <c r="AC77" s="124"/>
      <c r="AD77" s="155" t="s">
        <v>162</v>
      </c>
      <c r="AE77" s="124"/>
      <c r="AF77" s="124" t="s">
        <v>119</v>
      </c>
      <c r="AG77" s="155" t="s">
        <v>120</v>
      </c>
      <c r="AH77" s="124"/>
      <c r="AI77" s="155" t="s">
        <v>122</v>
      </c>
      <c r="AJ77" s="155" t="s">
        <v>160</v>
      </c>
      <c r="AK77" s="155"/>
      <c r="AL77" s="124"/>
      <c r="AM77" s="124"/>
      <c r="AN77" s="124"/>
      <c r="AO77" s="124"/>
      <c r="AP77" s="124" t="s">
        <v>127</v>
      </c>
      <c r="AQ77" s="124" t="s">
        <v>128</v>
      </c>
      <c r="AR77" s="124" t="s">
        <v>129</v>
      </c>
      <c r="AS77" s="124" t="s">
        <v>130</v>
      </c>
      <c r="AT77" s="124"/>
      <c r="AU77" s="124"/>
      <c r="AV77" s="124"/>
      <c r="AW77" s="124"/>
      <c r="AX77" s="124"/>
      <c r="AY77" s="124"/>
      <c r="AZ77" s="124"/>
      <c r="BA77" s="124"/>
      <c r="BB77" s="124"/>
      <c r="BC77" s="124"/>
      <c r="BD77" s="124" t="s">
        <v>138</v>
      </c>
      <c r="BE77" s="124"/>
      <c r="BF77" s="124" t="s">
        <v>140</v>
      </c>
      <c r="BG77" s="124" t="s">
        <v>141</v>
      </c>
      <c r="BH77" s="124"/>
      <c r="BI77" s="124"/>
      <c r="BJ77" s="124"/>
      <c r="BK77" s="124" t="s">
        <v>142</v>
      </c>
      <c r="BL77" s="124"/>
      <c r="BM77" s="124" t="s">
        <v>144</v>
      </c>
      <c r="BN77" s="124"/>
      <c r="BO77" s="124"/>
      <c r="BP77" s="124"/>
      <c r="BQ77" s="124" t="s">
        <v>174</v>
      </c>
      <c r="BR77" s="124" t="s">
        <v>147</v>
      </c>
      <c r="BS77" s="124"/>
      <c r="BT77" s="124" t="s">
        <v>149</v>
      </c>
      <c r="BU77" s="124" t="s">
        <v>150</v>
      </c>
      <c r="BV77" s="131" t="s">
        <v>249</v>
      </c>
      <c r="BW77" s="131" t="s">
        <v>249</v>
      </c>
      <c r="BX77" s="131" t="s">
        <v>176</v>
      </c>
      <c r="BY77" s="131" t="s">
        <v>177</v>
      </c>
      <c r="BZ77" s="131" t="s">
        <v>168</v>
      </c>
      <c r="CA77" s="131" t="s">
        <v>170</v>
      </c>
      <c r="CB77" s="131" t="s">
        <v>249</v>
      </c>
      <c r="CC77" s="131" t="s">
        <v>169</v>
      </c>
    </row>
    <row r="78" spans="1:82" ht="14.5" x14ac:dyDescent="0.35">
      <c r="A78">
        <v>28</v>
      </c>
      <c r="B78" s="343"/>
      <c r="C78" s="123">
        <v>46029.420393518521</v>
      </c>
      <c r="D78" s="5" t="s">
        <v>709</v>
      </c>
      <c r="E78" s="236" t="s">
        <v>817</v>
      </c>
      <c r="F78" s="10" t="s">
        <v>49</v>
      </c>
      <c r="G78" s="5" t="s">
        <v>25</v>
      </c>
      <c r="H78" s="5" t="s">
        <v>60</v>
      </c>
      <c r="I78" s="12">
        <v>1</v>
      </c>
      <c r="J78" s="124" t="s">
        <v>184</v>
      </c>
      <c r="K78" s="124" t="s">
        <v>172</v>
      </c>
      <c r="L78" s="155" t="s">
        <v>203</v>
      </c>
      <c r="M78" s="124"/>
      <c r="N78" s="124"/>
      <c r="O78" s="124"/>
      <c r="P78" s="124"/>
      <c r="Q78" s="124"/>
      <c r="R78" s="124" t="s">
        <v>106</v>
      </c>
      <c r="S78" s="124"/>
      <c r="T78" s="155"/>
      <c r="U78" s="155" t="s">
        <v>109</v>
      </c>
      <c r="V78" s="155" t="s">
        <v>160</v>
      </c>
      <c r="W78" s="124"/>
      <c r="X78" s="155"/>
      <c r="Y78" s="124"/>
      <c r="Z78" s="124"/>
      <c r="AA78" s="124"/>
      <c r="AB78" s="155" t="s">
        <v>182</v>
      </c>
      <c r="AC78" s="124"/>
      <c r="AD78" s="155" t="s">
        <v>185</v>
      </c>
      <c r="AE78" s="124" t="s">
        <v>118</v>
      </c>
      <c r="AF78" s="124" t="s">
        <v>160</v>
      </c>
      <c r="AG78" s="155"/>
      <c r="AH78" s="124"/>
      <c r="AI78" s="155" t="s">
        <v>122</v>
      </c>
      <c r="AJ78" s="155" t="s">
        <v>123</v>
      </c>
      <c r="AK78" s="155" t="s">
        <v>160</v>
      </c>
      <c r="AL78" s="124"/>
      <c r="AM78" s="124"/>
      <c r="AN78" s="124"/>
      <c r="AO78" s="124"/>
      <c r="AP78" s="124"/>
      <c r="AQ78" s="124"/>
      <c r="AR78" s="124"/>
      <c r="AS78" s="124"/>
      <c r="AT78" s="124"/>
      <c r="AU78" s="124"/>
      <c r="AV78" s="124" t="s">
        <v>132</v>
      </c>
      <c r="AW78" s="124"/>
      <c r="AX78" s="124"/>
      <c r="AY78" s="124"/>
      <c r="AZ78" s="124"/>
      <c r="BA78" s="124"/>
      <c r="BB78" s="124"/>
      <c r="BC78" s="124"/>
      <c r="BD78" s="124"/>
      <c r="BE78" s="124"/>
      <c r="BF78" s="124"/>
      <c r="BG78" s="124"/>
      <c r="BH78" s="124"/>
      <c r="BI78" s="124" t="s">
        <v>132</v>
      </c>
      <c r="BJ78" s="124"/>
      <c r="BK78" s="124"/>
      <c r="BL78" s="124"/>
      <c r="BM78" s="124"/>
      <c r="BN78" s="124" t="s">
        <v>145</v>
      </c>
      <c r="BO78" s="124"/>
      <c r="BP78" s="124"/>
      <c r="BQ78" s="124" t="s">
        <v>174</v>
      </c>
      <c r="BR78" s="124"/>
      <c r="BS78" s="124" t="s">
        <v>148</v>
      </c>
      <c r="BT78" s="124"/>
      <c r="BU78" s="124"/>
      <c r="BV78" s="128" t="s">
        <v>249</v>
      </c>
      <c r="BW78" s="128" t="s">
        <v>249</v>
      </c>
      <c r="BX78" s="128" t="s">
        <v>166</v>
      </c>
      <c r="BY78" s="128" t="s">
        <v>177</v>
      </c>
      <c r="BZ78" s="128" t="s">
        <v>168</v>
      </c>
      <c r="CA78" s="128" t="s">
        <v>169</v>
      </c>
      <c r="CB78" s="128" t="s">
        <v>249</v>
      </c>
      <c r="CC78" s="128" t="s">
        <v>169</v>
      </c>
    </row>
    <row r="79" spans="1:82" s="180" customFormat="1" ht="14.5" x14ac:dyDescent="0.35">
      <c r="A79" s="180">
        <v>27</v>
      </c>
      <c r="B79" s="343"/>
      <c r="C79" s="206">
        <v>46029.330497685187</v>
      </c>
      <c r="D79" s="184" t="s">
        <v>710</v>
      </c>
      <c r="E79" s="236" t="s">
        <v>818</v>
      </c>
      <c r="F79" s="186" t="s">
        <v>24</v>
      </c>
      <c r="G79" s="184" t="s">
        <v>31</v>
      </c>
      <c r="H79" s="187" t="s">
        <v>16</v>
      </c>
      <c r="I79" s="207">
        <v>1</v>
      </c>
      <c r="J79" s="208" t="s">
        <v>171</v>
      </c>
      <c r="K79" s="208" t="s">
        <v>191</v>
      </c>
      <c r="L79" s="209" t="s">
        <v>159</v>
      </c>
      <c r="M79" s="208"/>
      <c r="N79" s="208"/>
      <c r="O79" s="208"/>
      <c r="P79" s="208"/>
      <c r="Q79" s="208"/>
      <c r="R79" s="208" t="s">
        <v>106</v>
      </c>
      <c r="S79" s="208"/>
      <c r="T79" s="209" t="s">
        <v>108</v>
      </c>
      <c r="U79" s="209" t="s">
        <v>109</v>
      </c>
      <c r="V79" s="209" t="s">
        <v>160</v>
      </c>
      <c r="W79" s="208"/>
      <c r="X79" s="209"/>
      <c r="Y79" s="208"/>
      <c r="Z79" s="208"/>
      <c r="AA79" s="208"/>
      <c r="AB79" s="209" t="s">
        <v>161</v>
      </c>
      <c r="AC79" s="208"/>
      <c r="AD79" s="209" t="s">
        <v>162</v>
      </c>
      <c r="AE79" s="208"/>
      <c r="AF79" s="208"/>
      <c r="AG79" s="209" t="s">
        <v>120</v>
      </c>
      <c r="AH79" s="208"/>
      <c r="AI79" s="209" t="s">
        <v>122</v>
      </c>
      <c r="AJ79" s="209" t="s">
        <v>160</v>
      </c>
      <c r="AK79" s="209" t="s">
        <v>124</v>
      </c>
      <c r="AL79" s="208"/>
      <c r="AM79" s="208"/>
      <c r="AN79" s="208"/>
      <c r="AO79" s="208"/>
      <c r="AP79" s="208" t="s">
        <v>127</v>
      </c>
      <c r="AQ79" s="208" t="s">
        <v>128</v>
      </c>
      <c r="AR79" s="208" t="s">
        <v>129</v>
      </c>
      <c r="AS79" s="208" t="s">
        <v>130</v>
      </c>
      <c r="AT79" s="208" t="s">
        <v>131</v>
      </c>
      <c r="AU79" s="208"/>
      <c r="AV79" s="208"/>
      <c r="AW79" s="208"/>
      <c r="AX79" s="208"/>
      <c r="AY79" s="208" t="s">
        <v>134</v>
      </c>
      <c r="AZ79" s="208" t="s">
        <v>135</v>
      </c>
      <c r="BA79" s="208"/>
      <c r="BB79" s="208" t="s">
        <v>136</v>
      </c>
      <c r="BC79" s="208"/>
      <c r="BD79" s="208" t="s">
        <v>138</v>
      </c>
      <c r="BE79" s="208" t="s">
        <v>139</v>
      </c>
      <c r="BF79" s="208" t="s">
        <v>140</v>
      </c>
      <c r="BG79" s="208" t="s">
        <v>141</v>
      </c>
      <c r="BH79" s="208"/>
      <c r="BI79" s="208"/>
      <c r="BJ79" s="208"/>
      <c r="BK79" s="208" t="s">
        <v>142</v>
      </c>
      <c r="BL79" s="208"/>
      <c r="BM79" s="208"/>
      <c r="BN79" s="208"/>
      <c r="BO79" s="208" t="s">
        <v>113</v>
      </c>
      <c r="BP79" s="208" t="s">
        <v>254</v>
      </c>
      <c r="BQ79" s="208" t="s">
        <v>165</v>
      </c>
      <c r="BR79" s="208"/>
      <c r="BS79" s="208"/>
      <c r="BT79" s="208"/>
      <c r="BU79" s="208" t="s">
        <v>150</v>
      </c>
      <c r="BV79" s="182" t="s">
        <v>249</v>
      </c>
      <c r="BW79" s="182" t="s">
        <v>249</v>
      </c>
      <c r="BX79" s="182" t="s">
        <v>176</v>
      </c>
      <c r="BY79" s="182" t="s">
        <v>167</v>
      </c>
      <c r="BZ79" s="182" t="s">
        <v>168</v>
      </c>
      <c r="CA79" s="182" t="s">
        <v>169</v>
      </c>
      <c r="CB79" s="182" t="s">
        <v>249</v>
      </c>
      <c r="CC79" s="182" t="s">
        <v>169</v>
      </c>
    </row>
    <row r="80" spans="1:82" thickBot="1" x14ac:dyDescent="0.4">
      <c r="A80">
        <v>26</v>
      </c>
      <c r="B80" s="344"/>
      <c r="C80" s="129">
        <v>46027.534618055557</v>
      </c>
      <c r="D80" s="116" t="s">
        <v>711</v>
      </c>
      <c r="E80" s="236" t="s">
        <v>815</v>
      </c>
      <c r="F80" s="108" t="s">
        <v>49</v>
      </c>
      <c r="G80" s="107" t="s">
        <v>13</v>
      </c>
      <c r="H80" s="107" t="s">
        <v>29</v>
      </c>
      <c r="I80" s="109" t="s">
        <v>27</v>
      </c>
      <c r="J80" s="130" t="s">
        <v>157</v>
      </c>
      <c r="K80" s="130" t="s">
        <v>172</v>
      </c>
      <c r="L80" s="156" t="s">
        <v>203</v>
      </c>
      <c r="M80" s="130"/>
      <c r="N80" s="130"/>
      <c r="O80" s="130"/>
      <c r="P80" s="130"/>
      <c r="Q80" s="130"/>
      <c r="R80" s="130"/>
      <c r="S80" s="130"/>
      <c r="T80" s="156"/>
      <c r="U80" s="156" t="s">
        <v>109</v>
      </c>
      <c r="V80" s="156" t="s">
        <v>160</v>
      </c>
      <c r="W80" s="130"/>
      <c r="X80" s="156"/>
      <c r="Y80" s="130"/>
      <c r="Z80" s="130"/>
      <c r="AA80" s="130"/>
      <c r="AB80" s="157" t="s">
        <v>161</v>
      </c>
      <c r="AC80" s="130"/>
      <c r="AD80" s="156" t="s">
        <v>162</v>
      </c>
      <c r="AE80" s="130"/>
      <c r="AF80" s="130"/>
      <c r="AG80" s="156"/>
      <c r="AH80" s="130" t="s">
        <v>121</v>
      </c>
      <c r="AI80" s="156" t="s">
        <v>122</v>
      </c>
      <c r="AJ80" s="156" t="s">
        <v>123</v>
      </c>
      <c r="AK80" s="156" t="s">
        <v>160</v>
      </c>
      <c r="AL80" s="130"/>
      <c r="AM80" s="130"/>
      <c r="AN80" s="130"/>
      <c r="AO80" s="130"/>
      <c r="AP80" s="130"/>
      <c r="AQ80" s="130"/>
      <c r="AR80" s="130"/>
      <c r="AS80" s="130" t="s">
        <v>130</v>
      </c>
      <c r="AT80" s="130"/>
      <c r="AU80" s="130"/>
      <c r="AV80" s="130"/>
      <c r="AW80" s="130"/>
      <c r="AX80" s="130"/>
      <c r="AY80" s="130"/>
      <c r="AZ80" s="130" t="s">
        <v>135</v>
      </c>
      <c r="BA80" s="130" t="s">
        <v>121</v>
      </c>
      <c r="BB80" s="130" t="s">
        <v>136</v>
      </c>
      <c r="BC80" s="130"/>
      <c r="BD80" s="130" t="s">
        <v>138</v>
      </c>
      <c r="BE80" s="130"/>
      <c r="BF80" s="130"/>
      <c r="BG80" s="130"/>
      <c r="BH80" s="130"/>
      <c r="BI80" s="130"/>
      <c r="BJ80" s="130"/>
      <c r="BK80" s="130" t="s">
        <v>142</v>
      </c>
      <c r="BL80" s="130" t="s">
        <v>143</v>
      </c>
      <c r="BM80" s="130" t="s">
        <v>144</v>
      </c>
      <c r="BN80" s="130"/>
      <c r="BO80" s="130"/>
      <c r="BP80" s="130"/>
      <c r="BQ80" s="130" t="s">
        <v>178</v>
      </c>
      <c r="BR80" s="130" t="s">
        <v>147</v>
      </c>
      <c r="BS80" s="130"/>
      <c r="BT80" s="130"/>
      <c r="BU80" s="130" t="s">
        <v>150</v>
      </c>
      <c r="BV80" s="98" t="s">
        <v>249</v>
      </c>
      <c r="BW80" s="98" t="s">
        <v>249</v>
      </c>
      <c r="BX80" s="98" t="s">
        <v>186</v>
      </c>
      <c r="BY80" s="98" t="s">
        <v>177</v>
      </c>
      <c r="BZ80" s="98" t="s">
        <v>165</v>
      </c>
      <c r="CA80" s="98" t="s">
        <v>170</v>
      </c>
      <c r="CB80" s="98" t="s">
        <v>249</v>
      </c>
      <c r="CC80" s="98" t="s">
        <v>170</v>
      </c>
      <c r="CD80" s="304" t="s">
        <v>160</v>
      </c>
    </row>
    <row r="81" spans="1:82" s="180" customFormat="1" ht="14.5" x14ac:dyDescent="0.35">
      <c r="A81" s="180">
        <v>25</v>
      </c>
      <c r="B81" s="327">
        <v>45992</v>
      </c>
      <c r="C81" s="188">
        <v>46013.686805555553</v>
      </c>
      <c r="D81" s="199" t="s">
        <v>712</v>
      </c>
      <c r="E81" s="236" t="s">
        <v>817</v>
      </c>
      <c r="F81" s="190" t="s">
        <v>30</v>
      </c>
      <c r="G81" s="191" t="s">
        <v>13</v>
      </c>
      <c r="H81" s="191" t="s">
        <v>56</v>
      </c>
      <c r="I81" s="192" t="s">
        <v>57</v>
      </c>
      <c r="J81" s="200" t="s">
        <v>171</v>
      </c>
      <c r="K81" s="189" t="s">
        <v>191</v>
      </c>
      <c r="L81" s="189" t="s">
        <v>159</v>
      </c>
      <c r="M81" s="189" t="s">
        <v>249</v>
      </c>
      <c r="N81" s="189" t="s">
        <v>249</v>
      </c>
      <c r="O81" s="189" t="s">
        <v>249</v>
      </c>
      <c r="P81" s="189" t="s">
        <v>249</v>
      </c>
      <c r="Q81" s="189" t="s">
        <v>249</v>
      </c>
      <c r="R81" s="189" t="s">
        <v>249</v>
      </c>
      <c r="S81" s="189" t="s">
        <v>249</v>
      </c>
      <c r="T81" s="189" t="s">
        <v>108</v>
      </c>
      <c r="U81" s="189" t="s">
        <v>109</v>
      </c>
      <c r="V81" s="189" t="s">
        <v>110</v>
      </c>
      <c r="W81" s="189" t="s">
        <v>249</v>
      </c>
      <c r="X81" s="189" t="s">
        <v>249</v>
      </c>
      <c r="Y81" s="189" t="s">
        <v>249</v>
      </c>
      <c r="Z81" s="189" t="s">
        <v>249</v>
      </c>
      <c r="AA81" s="189" t="s">
        <v>249</v>
      </c>
      <c r="AB81" s="189" t="s">
        <v>161</v>
      </c>
      <c r="AC81" s="189" t="s">
        <v>249</v>
      </c>
      <c r="AD81" s="189" t="s">
        <v>165</v>
      </c>
      <c r="AE81" s="189" t="s">
        <v>249</v>
      </c>
      <c r="AF81" s="189" t="s">
        <v>249</v>
      </c>
      <c r="AG81" s="189" t="s">
        <v>249</v>
      </c>
      <c r="AH81" s="189" t="s">
        <v>249</v>
      </c>
      <c r="AI81" s="189" t="s">
        <v>122</v>
      </c>
      <c r="AJ81" s="189" t="s">
        <v>123</v>
      </c>
      <c r="AK81" s="189" t="s">
        <v>249</v>
      </c>
      <c r="AL81" s="189" t="s">
        <v>249</v>
      </c>
      <c r="AM81" s="189" t="s">
        <v>126</v>
      </c>
      <c r="AN81" s="189" t="s">
        <v>249</v>
      </c>
      <c r="AO81" s="189" t="s">
        <v>249</v>
      </c>
      <c r="AP81" s="189" t="s">
        <v>127</v>
      </c>
      <c r="AQ81" s="189" t="s">
        <v>128</v>
      </c>
      <c r="AR81" s="189" t="s">
        <v>129</v>
      </c>
      <c r="AS81" s="189" t="s">
        <v>130</v>
      </c>
      <c r="AT81" s="189" t="s">
        <v>131</v>
      </c>
      <c r="AU81" s="189" t="s">
        <v>113</v>
      </c>
      <c r="AV81" s="189" t="s">
        <v>249</v>
      </c>
      <c r="AW81" s="189" t="s">
        <v>255</v>
      </c>
      <c r="AX81" s="189" t="s">
        <v>133</v>
      </c>
      <c r="AY81" s="189" t="s">
        <v>134</v>
      </c>
      <c r="AZ81" s="189" t="s">
        <v>135</v>
      </c>
      <c r="BA81" s="189" t="s">
        <v>121</v>
      </c>
      <c r="BB81" s="189" t="s">
        <v>136</v>
      </c>
      <c r="BC81" s="189" t="s">
        <v>137</v>
      </c>
      <c r="BD81" s="189" t="s">
        <v>138</v>
      </c>
      <c r="BE81" s="189" t="s">
        <v>139</v>
      </c>
      <c r="BF81" s="189" t="s">
        <v>140</v>
      </c>
      <c r="BG81" s="189" t="s">
        <v>141</v>
      </c>
      <c r="BH81" s="189" t="s">
        <v>113</v>
      </c>
      <c r="BI81" s="189" t="s">
        <v>249</v>
      </c>
      <c r="BJ81" s="189" t="s">
        <v>256</v>
      </c>
      <c r="BK81" s="189" t="s">
        <v>142</v>
      </c>
      <c r="BL81" s="189" t="s">
        <v>143</v>
      </c>
      <c r="BM81" s="189" t="s">
        <v>144</v>
      </c>
      <c r="BN81" s="189" t="s">
        <v>249</v>
      </c>
      <c r="BO81" s="189" t="s">
        <v>113</v>
      </c>
      <c r="BP81" s="189" t="s">
        <v>257</v>
      </c>
      <c r="BQ81" s="189" t="s">
        <v>165</v>
      </c>
      <c r="BR81" s="189" t="s">
        <v>147</v>
      </c>
      <c r="BS81" s="189" t="s">
        <v>249</v>
      </c>
      <c r="BT81" s="189" t="s">
        <v>149</v>
      </c>
      <c r="BU81" s="189" t="s">
        <v>150</v>
      </c>
      <c r="BV81" s="182" t="s">
        <v>249</v>
      </c>
      <c r="BW81" s="182" t="s">
        <v>249</v>
      </c>
      <c r="BX81" s="182" t="s">
        <v>166</v>
      </c>
      <c r="BY81" s="182" t="s">
        <v>177</v>
      </c>
      <c r="BZ81" s="182" t="s">
        <v>168</v>
      </c>
      <c r="CA81" s="182" t="s">
        <v>170</v>
      </c>
      <c r="CB81" s="182" t="s">
        <v>249</v>
      </c>
      <c r="CC81" s="182" t="s">
        <v>169</v>
      </c>
    </row>
    <row r="82" spans="1:82" ht="14.5" x14ac:dyDescent="0.35">
      <c r="A82">
        <v>24</v>
      </c>
      <c r="B82" s="343"/>
      <c r="C82" s="97">
        <v>46008.511111111111</v>
      </c>
      <c r="D82" s="99" t="s">
        <v>714</v>
      </c>
      <c r="E82" s="236" t="s">
        <v>818</v>
      </c>
      <c r="F82" s="100" t="s">
        <v>30</v>
      </c>
      <c r="G82" s="5" t="s">
        <v>31</v>
      </c>
      <c r="H82" s="5" t="s">
        <v>26</v>
      </c>
      <c r="I82" s="101" t="s">
        <v>22</v>
      </c>
      <c r="J82" s="98" t="s">
        <v>180</v>
      </c>
      <c r="K82" s="98" t="s">
        <v>191</v>
      </c>
      <c r="L82" s="98" t="s">
        <v>159</v>
      </c>
      <c r="M82" s="98" t="s">
        <v>249</v>
      </c>
      <c r="N82" s="98" t="s">
        <v>249</v>
      </c>
      <c r="O82" s="98" t="s">
        <v>249</v>
      </c>
      <c r="P82" s="98" t="s">
        <v>249</v>
      </c>
      <c r="Q82" s="98" t="s">
        <v>249</v>
      </c>
      <c r="R82" s="98" t="s">
        <v>249</v>
      </c>
      <c r="S82" s="98" t="s">
        <v>249</v>
      </c>
      <c r="T82" s="98" t="s">
        <v>108</v>
      </c>
      <c r="U82" s="98" t="s">
        <v>109</v>
      </c>
      <c r="V82" s="98" t="s">
        <v>110</v>
      </c>
      <c r="W82" s="98" t="s">
        <v>249</v>
      </c>
      <c r="X82" s="98" t="s">
        <v>249</v>
      </c>
      <c r="Y82" s="98" t="s">
        <v>249</v>
      </c>
      <c r="Z82" s="98" t="s">
        <v>249</v>
      </c>
      <c r="AA82" s="98" t="s">
        <v>249</v>
      </c>
      <c r="AB82" s="98" t="s">
        <v>161</v>
      </c>
      <c r="AC82" s="98" t="s">
        <v>249</v>
      </c>
      <c r="AD82" s="98" t="s">
        <v>165</v>
      </c>
      <c r="AE82" s="98" t="s">
        <v>249</v>
      </c>
      <c r="AF82" s="98" t="s">
        <v>249</v>
      </c>
      <c r="AG82" s="98" t="s">
        <v>120</v>
      </c>
      <c r="AH82" s="98" t="s">
        <v>249</v>
      </c>
      <c r="AI82" s="98" t="s">
        <v>122</v>
      </c>
      <c r="AJ82" s="98" t="s">
        <v>249</v>
      </c>
      <c r="AK82" s="98" t="s">
        <v>124</v>
      </c>
      <c r="AL82" s="98" t="s">
        <v>249</v>
      </c>
      <c r="AM82" s="98" t="s">
        <v>249</v>
      </c>
      <c r="AN82" s="98" t="s">
        <v>249</v>
      </c>
      <c r="AO82" s="98" t="s">
        <v>249</v>
      </c>
      <c r="AP82" s="98" t="s">
        <v>127</v>
      </c>
      <c r="AQ82" s="98" t="s">
        <v>128</v>
      </c>
      <c r="AR82" s="98" t="s">
        <v>129</v>
      </c>
      <c r="AS82" s="98" t="s">
        <v>130</v>
      </c>
      <c r="AT82" s="98" t="s">
        <v>131</v>
      </c>
      <c r="AU82" s="98" t="s">
        <v>249</v>
      </c>
      <c r="AV82" s="98" t="s">
        <v>249</v>
      </c>
      <c r="AW82" s="98" t="s">
        <v>249</v>
      </c>
      <c r="AX82" s="98" t="s">
        <v>133</v>
      </c>
      <c r="AY82" s="98" t="s">
        <v>134</v>
      </c>
      <c r="AZ82" s="98" t="s">
        <v>135</v>
      </c>
      <c r="BA82" s="98" t="s">
        <v>121</v>
      </c>
      <c r="BB82" s="98" t="s">
        <v>136</v>
      </c>
      <c r="BC82" s="98" t="s">
        <v>137</v>
      </c>
      <c r="BD82" s="98" t="s">
        <v>138</v>
      </c>
      <c r="BE82" s="98" t="s">
        <v>139</v>
      </c>
      <c r="BF82" s="98" t="s">
        <v>140</v>
      </c>
      <c r="BG82" s="98" t="s">
        <v>141</v>
      </c>
      <c r="BH82" s="98" t="s">
        <v>249</v>
      </c>
      <c r="BI82" s="98" t="s">
        <v>249</v>
      </c>
      <c r="BJ82" s="98" t="s">
        <v>249</v>
      </c>
      <c r="BK82" s="98" t="s">
        <v>142</v>
      </c>
      <c r="BL82" s="98" t="s">
        <v>143</v>
      </c>
      <c r="BM82" s="98" t="s">
        <v>249</v>
      </c>
      <c r="BN82" s="98" t="s">
        <v>249</v>
      </c>
      <c r="BO82" s="98" t="s">
        <v>249</v>
      </c>
      <c r="BP82" s="98" t="s">
        <v>249</v>
      </c>
      <c r="BQ82" s="98" t="s">
        <v>165</v>
      </c>
      <c r="BR82" s="98" t="s">
        <v>147</v>
      </c>
      <c r="BS82" s="98" t="s">
        <v>249</v>
      </c>
      <c r="BT82" s="98" t="s">
        <v>149</v>
      </c>
      <c r="BU82" s="98" t="s">
        <v>150</v>
      </c>
      <c r="BV82" s="98" t="s">
        <v>249</v>
      </c>
      <c r="BW82" s="98" t="s">
        <v>249</v>
      </c>
      <c r="BX82" s="98" t="s">
        <v>176</v>
      </c>
      <c r="BY82" s="98" t="s">
        <v>167</v>
      </c>
      <c r="BZ82" s="98" t="s">
        <v>168</v>
      </c>
      <c r="CA82" s="98" t="s">
        <v>169</v>
      </c>
      <c r="CB82" s="98" t="s">
        <v>249</v>
      </c>
      <c r="CC82" s="98" t="s">
        <v>170</v>
      </c>
      <c r="CD82" s="304" t="s">
        <v>160</v>
      </c>
    </row>
    <row r="83" spans="1:82" ht="14.5" x14ac:dyDescent="0.35">
      <c r="A83">
        <v>23</v>
      </c>
      <c r="B83" s="343"/>
      <c r="C83" s="97">
        <v>46008.425000000003</v>
      </c>
      <c r="D83" s="98" t="s">
        <v>661</v>
      </c>
      <c r="E83" s="236" t="s">
        <v>815</v>
      </c>
      <c r="F83" s="10" t="s">
        <v>12</v>
      </c>
      <c r="G83" s="5" t="s">
        <v>13</v>
      </c>
      <c r="H83" s="9" t="s">
        <v>16</v>
      </c>
      <c r="I83" s="12">
        <v>1</v>
      </c>
      <c r="J83" s="98" t="s">
        <v>171</v>
      </c>
      <c r="K83" s="98" t="s">
        <v>158</v>
      </c>
      <c r="L83" s="98" t="s">
        <v>159</v>
      </c>
      <c r="M83" s="98" t="s">
        <v>249</v>
      </c>
      <c r="N83" s="98" t="s">
        <v>249</v>
      </c>
      <c r="O83" s="98" t="s">
        <v>249</v>
      </c>
      <c r="P83" s="98" t="s">
        <v>104</v>
      </c>
      <c r="Q83" s="98" t="s">
        <v>249</v>
      </c>
      <c r="R83" s="98" t="s">
        <v>249</v>
      </c>
      <c r="S83" s="98" t="s">
        <v>249</v>
      </c>
      <c r="T83" s="98" t="s">
        <v>108</v>
      </c>
      <c r="U83" s="98" t="s">
        <v>109</v>
      </c>
      <c r="V83" s="98" t="s">
        <v>249</v>
      </c>
      <c r="W83" s="98" t="s">
        <v>249</v>
      </c>
      <c r="X83" s="98" t="s">
        <v>249</v>
      </c>
      <c r="Y83" s="98" t="s">
        <v>249</v>
      </c>
      <c r="Z83" s="98" t="s">
        <v>249</v>
      </c>
      <c r="AA83" s="98" t="s">
        <v>249</v>
      </c>
      <c r="AB83" s="98" t="s">
        <v>182</v>
      </c>
      <c r="AC83" s="98" t="s">
        <v>249</v>
      </c>
      <c r="AD83" s="98" t="s">
        <v>165</v>
      </c>
      <c r="AE83" s="98" t="s">
        <v>118</v>
      </c>
      <c r="AF83" s="98" t="s">
        <v>249</v>
      </c>
      <c r="AG83" s="98" t="s">
        <v>249</v>
      </c>
      <c r="AH83" s="98" t="s">
        <v>249</v>
      </c>
      <c r="AI83" s="98" t="s">
        <v>122</v>
      </c>
      <c r="AJ83" s="98" t="s">
        <v>249</v>
      </c>
      <c r="AK83" s="98" t="s">
        <v>124</v>
      </c>
      <c r="AL83" s="98" t="s">
        <v>249</v>
      </c>
      <c r="AM83" s="98" t="s">
        <v>249</v>
      </c>
      <c r="AN83" s="98" t="s">
        <v>249</v>
      </c>
      <c r="AO83" s="98" t="s">
        <v>249</v>
      </c>
      <c r="AP83" s="98" t="s">
        <v>249</v>
      </c>
      <c r="AQ83" s="98" t="s">
        <v>128</v>
      </c>
      <c r="AR83" s="98" t="s">
        <v>249</v>
      </c>
      <c r="AS83" s="98" t="s">
        <v>130</v>
      </c>
      <c r="AT83" s="98" t="s">
        <v>249</v>
      </c>
      <c r="AU83" s="98" t="s">
        <v>249</v>
      </c>
      <c r="AV83" s="98" t="s">
        <v>249</v>
      </c>
      <c r="AW83" s="98" t="s">
        <v>249</v>
      </c>
      <c r="AX83" s="98" t="s">
        <v>249</v>
      </c>
      <c r="AY83" s="98" t="s">
        <v>249</v>
      </c>
      <c r="AZ83" s="98" t="s">
        <v>135</v>
      </c>
      <c r="BA83" s="98" t="s">
        <v>121</v>
      </c>
      <c r="BB83" s="98" t="s">
        <v>136</v>
      </c>
      <c r="BC83" s="98" t="s">
        <v>137</v>
      </c>
      <c r="BD83" s="98" t="s">
        <v>249</v>
      </c>
      <c r="BE83" s="98" t="s">
        <v>249</v>
      </c>
      <c r="BF83" s="98" t="s">
        <v>140</v>
      </c>
      <c r="BG83" s="98" t="s">
        <v>249</v>
      </c>
      <c r="BH83" s="98" t="s">
        <v>249</v>
      </c>
      <c r="BI83" s="98" t="s">
        <v>249</v>
      </c>
      <c r="BJ83" s="98" t="s">
        <v>249</v>
      </c>
      <c r="BK83" s="98" t="s">
        <v>142</v>
      </c>
      <c r="BL83" s="98" t="s">
        <v>143</v>
      </c>
      <c r="BM83" s="98" t="s">
        <v>144</v>
      </c>
      <c r="BN83" s="98" t="s">
        <v>249</v>
      </c>
      <c r="BO83" s="98" t="s">
        <v>249</v>
      </c>
      <c r="BP83" s="98" t="s">
        <v>249</v>
      </c>
      <c r="BQ83" s="98" t="s">
        <v>165</v>
      </c>
      <c r="BR83" s="98" t="s">
        <v>147</v>
      </c>
      <c r="BS83" s="98" t="s">
        <v>249</v>
      </c>
      <c r="BT83" s="98" t="s">
        <v>249</v>
      </c>
      <c r="BU83" s="98" t="s">
        <v>150</v>
      </c>
      <c r="BV83" s="98" t="s">
        <v>249</v>
      </c>
      <c r="BW83" s="98" t="s">
        <v>249</v>
      </c>
      <c r="BX83" s="98" t="s">
        <v>166</v>
      </c>
      <c r="BY83" s="98" t="s">
        <v>177</v>
      </c>
      <c r="BZ83" s="98" t="s">
        <v>168</v>
      </c>
      <c r="CA83" s="98" t="s">
        <v>169</v>
      </c>
      <c r="CB83" s="98" t="s">
        <v>249</v>
      </c>
      <c r="CC83" s="98" t="s">
        <v>197</v>
      </c>
      <c r="CD83" s="304" t="s">
        <v>160</v>
      </c>
    </row>
    <row r="84" spans="1:82" ht="14.5" x14ac:dyDescent="0.35">
      <c r="A84">
        <v>22</v>
      </c>
      <c r="B84" s="343"/>
      <c r="C84" s="97">
        <v>46007.689583333333</v>
      </c>
      <c r="D84" s="98" t="s">
        <v>714</v>
      </c>
      <c r="E84" s="236" t="s">
        <v>817</v>
      </c>
      <c r="F84" s="100" t="s">
        <v>42</v>
      </c>
      <c r="G84" s="5" t="s">
        <v>25</v>
      </c>
      <c r="H84" s="5" t="s">
        <v>16</v>
      </c>
      <c r="I84" s="101" t="s">
        <v>27</v>
      </c>
      <c r="J84" s="98" t="s">
        <v>171</v>
      </c>
      <c r="K84" s="98" t="s">
        <v>158</v>
      </c>
      <c r="L84" s="98" t="s">
        <v>173</v>
      </c>
      <c r="M84" s="98" t="s">
        <v>249</v>
      </c>
      <c r="N84" s="98" t="s">
        <v>249</v>
      </c>
      <c r="O84" s="98" t="s">
        <v>249</v>
      </c>
      <c r="P84" s="98" t="s">
        <v>249</v>
      </c>
      <c r="Q84" s="98" t="s">
        <v>249</v>
      </c>
      <c r="R84" s="98" t="s">
        <v>249</v>
      </c>
      <c r="S84" s="98" t="s">
        <v>249</v>
      </c>
      <c r="T84" s="98" t="s">
        <v>108</v>
      </c>
      <c r="U84" s="98" t="s">
        <v>109</v>
      </c>
      <c r="V84" s="98" t="s">
        <v>110</v>
      </c>
      <c r="W84" s="98" t="s">
        <v>249</v>
      </c>
      <c r="X84" s="98" t="s">
        <v>249</v>
      </c>
      <c r="Y84" s="98" t="s">
        <v>249</v>
      </c>
      <c r="Z84" s="98" t="s">
        <v>249</v>
      </c>
      <c r="AA84" s="98" t="s">
        <v>249</v>
      </c>
      <c r="AB84" s="98" t="s">
        <v>161</v>
      </c>
      <c r="AC84" s="98" t="s">
        <v>249</v>
      </c>
      <c r="AD84" s="98" t="s">
        <v>165</v>
      </c>
      <c r="AE84" s="98" t="s">
        <v>118</v>
      </c>
      <c r="AF84" s="98" t="s">
        <v>249</v>
      </c>
      <c r="AG84" s="98" t="s">
        <v>249</v>
      </c>
      <c r="AH84" s="98" t="s">
        <v>249</v>
      </c>
      <c r="AI84" s="98" t="s">
        <v>122</v>
      </c>
      <c r="AJ84" s="98" t="s">
        <v>249</v>
      </c>
      <c r="AK84" s="98" t="s">
        <v>249</v>
      </c>
      <c r="AL84" s="98" t="s">
        <v>249</v>
      </c>
      <c r="AM84" s="98" t="s">
        <v>126</v>
      </c>
      <c r="AN84" s="98" t="s">
        <v>249</v>
      </c>
      <c r="AO84" s="98" t="s">
        <v>249</v>
      </c>
      <c r="AP84" s="98" t="s">
        <v>127</v>
      </c>
      <c r="AQ84" s="98" t="s">
        <v>128</v>
      </c>
      <c r="AR84" s="98" t="s">
        <v>129</v>
      </c>
      <c r="AS84" s="98" t="s">
        <v>130</v>
      </c>
      <c r="AT84" s="98" t="s">
        <v>131</v>
      </c>
      <c r="AU84" s="98" t="s">
        <v>113</v>
      </c>
      <c r="AV84" s="98" t="s">
        <v>249</v>
      </c>
      <c r="AW84" s="98" t="s">
        <v>258</v>
      </c>
      <c r="AX84" s="98" t="s">
        <v>133</v>
      </c>
      <c r="AY84" s="98" t="s">
        <v>134</v>
      </c>
      <c r="AZ84" s="98" t="s">
        <v>135</v>
      </c>
      <c r="BA84" s="98" t="s">
        <v>121</v>
      </c>
      <c r="BB84" s="98" t="s">
        <v>136</v>
      </c>
      <c r="BC84" s="98" t="s">
        <v>137</v>
      </c>
      <c r="BD84" s="98" t="s">
        <v>138</v>
      </c>
      <c r="BE84" s="98" t="s">
        <v>139</v>
      </c>
      <c r="BF84" s="98" t="s">
        <v>140</v>
      </c>
      <c r="BG84" s="98" t="s">
        <v>141</v>
      </c>
      <c r="BH84" s="98" t="s">
        <v>113</v>
      </c>
      <c r="BI84" s="98" t="s">
        <v>249</v>
      </c>
      <c r="BJ84" s="98" t="s">
        <v>259</v>
      </c>
      <c r="BK84" s="98" t="s">
        <v>142</v>
      </c>
      <c r="BL84" s="98" t="s">
        <v>143</v>
      </c>
      <c r="BM84" s="98" t="s">
        <v>249</v>
      </c>
      <c r="BN84" s="98" t="s">
        <v>249</v>
      </c>
      <c r="BO84" s="98" t="s">
        <v>113</v>
      </c>
      <c r="BP84" s="98" t="s">
        <v>260</v>
      </c>
      <c r="BQ84" s="98" t="s">
        <v>165</v>
      </c>
      <c r="BR84" s="98" t="s">
        <v>147</v>
      </c>
      <c r="BS84" s="98" t="s">
        <v>249</v>
      </c>
      <c r="BT84" s="98" t="s">
        <v>249</v>
      </c>
      <c r="BU84" s="98" t="s">
        <v>150</v>
      </c>
      <c r="BV84" s="98" t="s">
        <v>249</v>
      </c>
      <c r="BW84" s="98" t="s">
        <v>249</v>
      </c>
      <c r="BX84" s="98" t="s">
        <v>166</v>
      </c>
      <c r="BY84" s="98" t="s">
        <v>167</v>
      </c>
      <c r="BZ84" s="98" t="s">
        <v>178</v>
      </c>
      <c r="CA84" s="98" t="s">
        <v>170</v>
      </c>
      <c r="CB84" s="98" t="s">
        <v>249</v>
      </c>
      <c r="CC84" s="98" t="s">
        <v>170</v>
      </c>
      <c r="CD84" s="304" t="s">
        <v>160</v>
      </c>
    </row>
    <row r="85" spans="1:82" s="180" customFormat="1" ht="14.5" x14ac:dyDescent="0.35">
      <c r="A85" s="180">
        <v>21</v>
      </c>
      <c r="B85" s="343"/>
      <c r="C85" s="181">
        <v>46007.490277777775</v>
      </c>
      <c r="D85" s="182" t="s">
        <v>713</v>
      </c>
      <c r="E85" s="236" t="s">
        <v>818</v>
      </c>
      <c r="F85" s="183" t="s">
        <v>30</v>
      </c>
      <c r="G85" s="184" t="s">
        <v>31</v>
      </c>
      <c r="H85" s="184" t="s">
        <v>16</v>
      </c>
      <c r="I85" s="198" t="s">
        <v>32</v>
      </c>
      <c r="J85" s="182" t="s">
        <v>180</v>
      </c>
      <c r="K85" s="182" t="s">
        <v>158</v>
      </c>
      <c r="L85" s="182" t="s">
        <v>159</v>
      </c>
      <c r="M85" s="182" t="s">
        <v>249</v>
      </c>
      <c r="N85" s="182" t="s">
        <v>249</v>
      </c>
      <c r="O85" s="182" t="s">
        <v>249</v>
      </c>
      <c r="P85" s="182" t="s">
        <v>249</v>
      </c>
      <c r="Q85" s="182" t="s">
        <v>249</v>
      </c>
      <c r="R85" s="182" t="s">
        <v>249</v>
      </c>
      <c r="S85" s="182" t="s">
        <v>249</v>
      </c>
      <c r="T85" s="182" t="s">
        <v>108</v>
      </c>
      <c r="U85" s="182" t="s">
        <v>109</v>
      </c>
      <c r="V85" s="182" t="s">
        <v>110</v>
      </c>
      <c r="W85" s="182" t="s">
        <v>249</v>
      </c>
      <c r="X85" s="182" t="s">
        <v>249</v>
      </c>
      <c r="Y85" s="182" t="s">
        <v>249</v>
      </c>
      <c r="Z85" s="182" t="s">
        <v>249</v>
      </c>
      <c r="AA85" s="182" t="s">
        <v>249</v>
      </c>
      <c r="AB85" s="182" t="s">
        <v>161</v>
      </c>
      <c r="AC85" s="182" t="s">
        <v>249</v>
      </c>
      <c r="AD85" s="182" t="s">
        <v>165</v>
      </c>
      <c r="AE85" s="182" t="s">
        <v>249</v>
      </c>
      <c r="AF85" s="182" t="s">
        <v>119</v>
      </c>
      <c r="AG85" s="182" t="s">
        <v>249</v>
      </c>
      <c r="AH85" s="182" t="s">
        <v>249</v>
      </c>
      <c r="AI85" s="182" t="s">
        <v>122</v>
      </c>
      <c r="AJ85" s="182" t="s">
        <v>249</v>
      </c>
      <c r="AK85" s="182" t="s">
        <v>124</v>
      </c>
      <c r="AL85" s="182" t="s">
        <v>249</v>
      </c>
      <c r="AM85" s="182" t="s">
        <v>249</v>
      </c>
      <c r="AN85" s="182" t="s">
        <v>249</v>
      </c>
      <c r="AO85" s="182" t="s">
        <v>249</v>
      </c>
      <c r="AP85" s="182" t="s">
        <v>127</v>
      </c>
      <c r="AQ85" s="182" t="s">
        <v>249</v>
      </c>
      <c r="AR85" s="182" t="s">
        <v>129</v>
      </c>
      <c r="AS85" s="182" t="s">
        <v>249</v>
      </c>
      <c r="AT85" s="182" t="s">
        <v>131</v>
      </c>
      <c r="AU85" s="182" t="s">
        <v>249</v>
      </c>
      <c r="AV85" s="182" t="s">
        <v>249</v>
      </c>
      <c r="AW85" s="182" t="s">
        <v>249</v>
      </c>
      <c r="AX85" s="182" t="s">
        <v>133</v>
      </c>
      <c r="AY85" s="182" t="s">
        <v>249</v>
      </c>
      <c r="AZ85" s="182" t="s">
        <v>249</v>
      </c>
      <c r="BA85" s="182" t="s">
        <v>249</v>
      </c>
      <c r="BB85" s="182" t="s">
        <v>249</v>
      </c>
      <c r="BC85" s="182" t="s">
        <v>249</v>
      </c>
      <c r="BD85" s="182" t="s">
        <v>138</v>
      </c>
      <c r="BE85" s="182" t="s">
        <v>249</v>
      </c>
      <c r="BF85" s="182" t="s">
        <v>249</v>
      </c>
      <c r="BG85" s="182" t="s">
        <v>141</v>
      </c>
      <c r="BH85" s="182" t="s">
        <v>249</v>
      </c>
      <c r="BI85" s="182" t="s">
        <v>249</v>
      </c>
      <c r="BJ85" s="182" t="s">
        <v>249</v>
      </c>
      <c r="BK85" s="182" t="s">
        <v>142</v>
      </c>
      <c r="BL85" s="182" t="s">
        <v>249</v>
      </c>
      <c r="BM85" s="182" t="s">
        <v>249</v>
      </c>
      <c r="BN85" s="182" t="s">
        <v>249</v>
      </c>
      <c r="BO85" s="182" t="s">
        <v>249</v>
      </c>
      <c r="BP85" s="182" t="s">
        <v>249</v>
      </c>
      <c r="BQ85" s="182" t="s">
        <v>174</v>
      </c>
      <c r="BR85" s="182" t="s">
        <v>249</v>
      </c>
      <c r="BS85" s="182" t="s">
        <v>249</v>
      </c>
      <c r="BT85" s="182" t="s">
        <v>149</v>
      </c>
      <c r="BU85" s="182" t="s">
        <v>150</v>
      </c>
      <c r="BV85" s="182" t="s">
        <v>249</v>
      </c>
      <c r="BW85" s="182" t="s">
        <v>249</v>
      </c>
      <c r="BX85" s="182" t="s">
        <v>176</v>
      </c>
      <c r="BY85" s="182" t="s">
        <v>177</v>
      </c>
      <c r="BZ85" s="182" t="s">
        <v>178</v>
      </c>
      <c r="CA85" s="182" t="s">
        <v>170</v>
      </c>
      <c r="CB85" s="182" t="s">
        <v>249</v>
      </c>
      <c r="CC85" s="182" t="s">
        <v>170</v>
      </c>
      <c r="CD85" s="180" t="s">
        <v>160</v>
      </c>
    </row>
    <row r="86" spans="1:82" s="180" customFormat="1" ht="14.5" x14ac:dyDescent="0.35">
      <c r="A86" s="180">
        <v>20</v>
      </c>
      <c r="B86" s="343"/>
      <c r="C86" s="181">
        <v>46001.481944444444</v>
      </c>
      <c r="D86" s="182" t="s">
        <v>715</v>
      </c>
      <c r="E86" s="236" t="s">
        <v>815</v>
      </c>
      <c r="F86" s="183" t="s">
        <v>30</v>
      </c>
      <c r="G86" s="184" t="s">
        <v>31</v>
      </c>
      <c r="H86" s="184" t="s">
        <v>26</v>
      </c>
      <c r="I86" s="198" t="s">
        <v>32</v>
      </c>
      <c r="J86" s="182" t="s">
        <v>171</v>
      </c>
      <c r="K86" s="182" t="s">
        <v>191</v>
      </c>
      <c r="L86" s="182" t="s">
        <v>181</v>
      </c>
      <c r="M86" s="182" t="s">
        <v>249</v>
      </c>
      <c r="N86" s="182" t="s">
        <v>249</v>
      </c>
      <c r="O86" s="182" t="s">
        <v>249</v>
      </c>
      <c r="P86" s="182" t="s">
        <v>249</v>
      </c>
      <c r="Q86" s="182" t="s">
        <v>249</v>
      </c>
      <c r="R86" s="182" t="s">
        <v>249</v>
      </c>
      <c r="S86" s="182" t="s">
        <v>249</v>
      </c>
      <c r="T86" s="182" t="s">
        <v>108</v>
      </c>
      <c r="U86" s="182" t="s">
        <v>109</v>
      </c>
      <c r="V86" s="182" t="s">
        <v>110</v>
      </c>
      <c r="W86" s="182" t="s">
        <v>249</v>
      </c>
      <c r="X86" s="182" t="s">
        <v>249</v>
      </c>
      <c r="Y86" s="182" t="s">
        <v>249</v>
      </c>
      <c r="Z86" s="182" t="s">
        <v>249</v>
      </c>
      <c r="AA86" s="182" t="s">
        <v>249</v>
      </c>
      <c r="AB86" s="182" t="s">
        <v>161</v>
      </c>
      <c r="AC86" s="182" t="s">
        <v>249</v>
      </c>
      <c r="AD86" s="182" t="s">
        <v>165</v>
      </c>
      <c r="AE86" s="182" t="s">
        <v>118</v>
      </c>
      <c r="AF86" s="182" t="s">
        <v>249</v>
      </c>
      <c r="AG86" s="182" t="s">
        <v>249</v>
      </c>
      <c r="AH86" s="182" t="s">
        <v>121</v>
      </c>
      <c r="AI86" s="182" t="s">
        <v>122</v>
      </c>
      <c r="AJ86" s="182" t="s">
        <v>249</v>
      </c>
      <c r="AK86" s="182" t="s">
        <v>249</v>
      </c>
      <c r="AL86" s="182" t="s">
        <v>249</v>
      </c>
      <c r="AM86" s="182" t="s">
        <v>249</v>
      </c>
      <c r="AN86" s="182" t="s">
        <v>249</v>
      </c>
      <c r="AO86" s="182" t="s">
        <v>249</v>
      </c>
      <c r="AP86" s="182" t="s">
        <v>249</v>
      </c>
      <c r="AQ86" s="182" t="s">
        <v>128</v>
      </c>
      <c r="AR86" s="182" t="s">
        <v>129</v>
      </c>
      <c r="AS86" s="182" t="s">
        <v>130</v>
      </c>
      <c r="AT86" s="182" t="s">
        <v>131</v>
      </c>
      <c r="AU86" s="182" t="s">
        <v>113</v>
      </c>
      <c r="AV86" s="182" t="s">
        <v>249</v>
      </c>
      <c r="AW86" s="182" t="s">
        <v>261</v>
      </c>
      <c r="AX86" s="182" t="s">
        <v>133</v>
      </c>
      <c r="AY86" s="182" t="s">
        <v>134</v>
      </c>
      <c r="AZ86" s="182" t="s">
        <v>135</v>
      </c>
      <c r="BA86" s="182" t="s">
        <v>249</v>
      </c>
      <c r="BB86" s="182" t="s">
        <v>136</v>
      </c>
      <c r="BC86" s="182" t="s">
        <v>137</v>
      </c>
      <c r="BD86" s="182" t="s">
        <v>138</v>
      </c>
      <c r="BE86" s="182" t="s">
        <v>249</v>
      </c>
      <c r="BF86" s="182" t="s">
        <v>249</v>
      </c>
      <c r="BG86" s="182" t="s">
        <v>249</v>
      </c>
      <c r="BH86" s="182" t="s">
        <v>249</v>
      </c>
      <c r="BI86" s="182" t="s">
        <v>249</v>
      </c>
      <c r="BJ86" s="182" t="s">
        <v>249</v>
      </c>
      <c r="BK86" s="182" t="s">
        <v>142</v>
      </c>
      <c r="BL86" s="182" t="s">
        <v>143</v>
      </c>
      <c r="BM86" s="182" t="s">
        <v>144</v>
      </c>
      <c r="BN86" s="182" t="s">
        <v>249</v>
      </c>
      <c r="BO86" s="182" t="s">
        <v>249</v>
      </c>
      <c r="BP86" s="182" t="s">
        <v>249</v>
      </c>
      <c r="BQ86" s="182" t="s">
        <v>178</v>
      </c>
      <c r="BR86" s="182" t="s">
        <v>147</v>
      </c>
      <c r="BS86" s="182" t="s">
        <v>249</v>
      </c>
      <c r="BT86" s="182" t="s">
        <v>149</v>
      </c>
      <c r="BU86" s="182" t="s">
        <v>150</v>
      </c>
      <c r="BV86" s="182" t="s">
        <v>249</v>
      </c>
      <c r="BW86" s="182" t="s">
        <v>249</v>
      </c>
      <c r="BX86" s="182" t="s">
        <v>166</v>
      </c>
      <c r="BY86" s="182" t="s">
        <v>167</v>
      </c>
      <c r="BZ86" s="182" t="s">
        <v>178</v>
      </c>
      <c r="CA86" s="182" t="s">
        <v>169</v>
      </c>
      <c r="CB86" s="182" t="s">
        <v>249</v>
      </c>
      <c r="CC86" s="182" t="s">
        <v>169</v>
      </c>
    </row>
    <row r="87" spans="1:82" s="180" customFormat="1" thickBot="1" x14ac:dyDescent="0.4">
      <c r="A87" s="180">
        <v>19</v>
      </c>
      <c r="B87" s="345"/>
      <c r="C87" s="193">
        <v>45992.559027777781</v>
      </c>
      <c r="D87" s="194" t="s">
        <v>716</v>
      </c>
      <c r="E87" s="236" t="s">
        <v>817</v>
      </c>
      <c r="F87" s="195" t="s">
        <v>42</v>
      </c>
      <c r="G87" s="196" t="s">
        <v>13</v>
      </c>
      <c r="H87" s="184" t="s">
        <v>26</v>
      </c>
      <c r="I87" s="197">
        <v>1</v>
      </c>
      <c r="J87" s="194" t="s">
        <v>180</v>
      </c>
      <c r="K87" s="194" t="s">
        <v>158</v>
      </c>
      <c r="L87" s="194" t="s">
        <v>201</v>
      </c>
      <c r="M87" s="194" t="s">
        <v>249</v>
      </c>
      <c r="N87" s="194" t="s">
        <v>249</v>
      </c>
      <c r="O87" s="194" t="s">
        <v>249</v>
      </c>
      <c r="P87" s="194" t="s">
        <v>249</v>
      </c>
      <c r="Q87" s="194" t="s">
        <v>249</v>
      </c>
      <c r="R87" s="194" t="s">
        <v>249</v>
      </c>
      <c r="S87" s="194" t="s">
        <v>249</v>
      </c>
      <c r="T87" s="194" t="s">
        <v>249</v>
      </c>
      <c r="U87" s="194" t="s">
        <v>249</v>
      </c>
      <c r="V87" s="194" t="s">
        <v>249</v>
      </c>
      <c r="W87" s="194" t="s">
        <v>249</v>
      </c>
      <c r="X87" s="194" t="s">
        <v>249</v>
      </c>
      <c r="Y87" s="194" t="s">
        <v>249</v>
      </c>
      <c r="Z87" s="194" t="s">
        <v>114</v>
      </c>
      <c r="AA87" s="194" t="s">
        <v>249</v>
      </c>
      <c r="AB87" s="194" t="s">
        <v>161</v>
      </c>
      <c r="AC87" s="194" t="s">
        <v>249</v>
      </c>
      <c r="AD87" s="194" t="s">
        <v>165</v>
      </c>
      <c r="AE87" s="194" t="s">
        <v>249</v>
      </c>
      <c r="AF87" s="194" t="s">
        <v>249</v>
      </c>
      <c r="AG87" s="194" t="s">
        <v>249</v>
      </c>
      <c r="AH87" s="194" t="s">
        <v>121</v>
      </c>
      <c r="AI87" s="194" t="s">
        <v>249</v>
      </c>
      <c r="AJ87" s="194" t="s">
        <v>123</v>
      </c>
      <c r="AK87" s="194" t="s">
        <v>249</v>
      </c>
      <c r="AL87" s="194" t="s">
        <v>125</v>
      </c>
      <c r="AM87" s="194" t="s">
        <v>249</v>
      </c>
      <c r="AN87" s="194" t="s">
        <v>249</v>
      </c>
      <c r="AO87" s="194" t="s">
        <v>249</v>
      </c>
      <c r="AP87" s="194" t="s">
        <v>249</v>
      </c>
      <c r="AQ87" s="194" t="s">
        <v>128</v>
      </c>
      <c r="AR87" s="194" t="s">
        <v>249</v>
      </c>
      <c r="AS87" s="194" t="s">
        <v>130</v>
      </c>
      <c r="AT87" s="194" t="s">
        <v>249</v>
      </c>
      <c r="AU87" s="194" t="s">
        <v>249</v>
      </c>
      <c r="AV87" s="194" t="s">
        <v>249</v>
      </c>
      <c r="AW87" s="194" t="s">
        <v>249</v>
      </c>
      <c r="AX87" s="194" t="s">
        <v>249</v>
      </c>
      <c r="AY87" s="194" t="s">
        <v>249</v>
      </c>
      <c r="AZ87" s="194" t="s">
        <v>249</v>
      </c>
      <c r="BA87" s="194" t="s">
        <v>249</v>
      </c>
      <c r="BB87" s="194" t="s">
        <v>136</v>
      </c>
      <c r="BC87" s="194" t="s">
        <v>249</v>
      </c>
      <c r="BD87" s="194" t="s">
        <v>138</v>
      </c>
      <c r="BE87" s="194" t="s">
        <v>249</v>
      </c>
      <c r="BF87" s="194" t="s">
        <v>249</v>
      </c>
      <c r="BG87" s="194" t="s">
        <v>249</v>
      </c>
      <c r="BH87" s="194" t="s">
        <v>249</v>
      </c>
      <c r="BI87" s="194" t="s">
        <v>249</v>
      </c>
      <c r="BJ87" s="194" t="s">
        <v>249</v>
      </c>
      <c r="BK87" s="194" t="s">
        <v>249</v>
      </c>
      <c r="BL87" s="194" t="s">
        <v>249</v>
      </c>
      <c r="BM87" s="194" t="s">
        <v>249</v>
      </c>
      <c r="BN87" s="194" t="s">
        <v>249</v>
      </c>
      <c r="BO87" s="194" t="s">
        <v>113</v>
      </c>
      <c r="BP87" s="194" t="s">
        <v>262</v>
      </c>
      <c r="BQ87" s="194" t="s">
        <v>174</v>
      </c>
      <c r="BR87" s="194" t="s">
        <v>249</v>
      </c>
      <c r="BS87" s="194" t="s">
        <v>148</v>
      </c>
      <c r="BT87" s="194" t="s">
        <v>249</v>
      </c>
      <c r="BU87" s="194" t="s">
        <v>249</v>
      </c>
      <c r="BV87" s="182" t="s">
        <v>249</v>
      </c>
      <c r="BW87" s="182" t="s">
        <v>249</v>
      </c>
      <c r="BX87" s="182" t="s">
        <v>166</v>
      </c>
      <c r="BY87" s="182" t="s">
        <v>167</v>
      </c>
      <c r="BZ87" s="182" t="s">
        <v>178</v>
      </c>
      <c r="CA87" s="182" t="s">
        <v>170</v>
      </c>
      <c r="CB87" s="182" t="s">
        <v>263</v>
      </c>
      <c r="CC87" s="182" t="s">
        <v>169</v>
      </c>
    </row>
    <row r="88" spans="1:82" s="180" customFormat="1" ht="14.5" x14ac:dyDescent="0.35">
      <c r="A88" s="180">
        <v>18</v>
      </c>
      <c r="B88" s="327">
        <v>45962</v>
      </c>
      <c r="C88" s="188">
        <v>45987.954861111109</v>
      </c>
      <c r="D88" s="237" t="s">
        <v>717</v>
      </c>
      <c r="E88" s="236" t="s">
        <v>818</v>
      </c>
      <c r="F88" s="238" t="s">
        <v>24</v>
      </c>
      <c r="G88" s="191" t="s">
        <v>31</v>
      </c>
      <c r="H88" s="191" t="s">
        <v>26</v>
      </c>
      <c r="I88" s="192" t="s">
        <v>22</v>
      </c>
      <c r="J88" s="189" t="s">
        <v>180</v>
      </c>
      <c r="K88" s="189" t="s">
        <v>172</v>
      </c>
      <c r="L88" s="189" t="s">
        <v>159</v>
      </c>
      <c r="M88" s="189" t="s">
        <v>249</v>
      </c>
      <c r="N88" s="189" t="s">
        <v>249</v>
      </c>
      <c r="O88" s="189" t="s">
        <v>249</v>
      </c>
      <c r="P88" s="189" t="s">
        <v>249</v>
      </c>
      <c r="Q88" s="189" t="s">
        <v>249</v>
      </c>
      <c r="R88" s="189" t="s">
        <v>249</v>
      </c>
      <c r="S88" s="189" t="s">
        <v>249</v>
      </c>
      <c r="T88" s="189" t="s">
        <v>108</v>
      </c>
      <c r="U88" s="189" t="s">
        <v>109</v>
      </c>
      <c r="V88" s="189" t="s">
        <v>110</v>
      </c>
      <c r="W88" s="189" t="s">
        <v>249</v>
      </c>
      <c r="X88" s="189" t="s">
        <v>249</v>
      </c>
      <c r="Y88" s="189" t="s">
        <v>249</v>
      </c>
      <c r="Z88" s="189" t="s">
        <v>249</v>
      </c>
      <c r="AA88" s="189" t="s">
        <v>249</v>
      </c>
      <c r="AB88" s="189" t="s">
        <v>161</v>
      </c>
      <c r="AC88" s="189" t="s">
        <v>249</v>
      </c>
      <c r="AD88" s="189" t="s">
        <v>185</v>
      </c>
      <c r="AE88" s="189" t="s">
        <v>249</v>
      </c>
      <c r="AF88" s="189" t="s">
        <v>249</v>
      </c>
      <c r="AG88" s="189" t="s">
        <v>249</v>
      </c>
      <c r="AH88" s="189" t="s">
        <v>249</v>
      </c>
      <c r="AI88" s="189" t="s">
        <v>122</v>
      </c>
      <c r="AJ88" s="189" t="s">
        <v>249</v>
      </c>
      <c r="AK88" s="189" t="s">
        <v>124</v>
      </c>
      <c r="AL88" s="189" t="s">
        <v>249</v>
      </c>
      <c r="AM88" s="189" t="s">
        <v>126</v>
      </c>
      <c r="AN88" s="189" t="s">
        <v>249</v>
      </c>
      <c r="AO88" s="189" t="s">
        <v>249</v>
      </c>
      <c r="AP88" s="189" t="s">
        <v>249</v>
      </c>
      <c r="AQ88" s="189" t="s">
        <v>249</v>
      </c>
      <c r="AR88" s="189" t="s">
        <v>129</v>
      </c>
      <c r="AS88" s="189" t="s">
        <v>130</v>
      </c>
      <c r="AT88" s="189" t="s">
        <v>249</v>
      </c>
      <c r="AU88" s="189" t="s">
        <v>249</v>
      </c>
      <c r="AV88" s="189" t="s">
        <v>249</v>
      </c>
      <c r="AW88" s="189" t="s">
        <v>249</v>
      </c>
      <c r="AX88" s="189" t="s">
        <v>249</v>
      </c>
      <c r="AY88" s="189" t="s">
        <v>249</v>
      </c>
      <c r="AZ88" s="189" t="s">
        <v>249</v>
      </c>
      <c r="BA88" s="189" t="s">
        <v>249</v>
      </c>
      <c r="BB88" s="189" t="s">
        <v>249</v>
      </c>
      <c r="BC88" s="189" t="s">
        <v>249</v>
      </c>
      <c r="BD88" s="189" t="s">
        <v>249</v>
      </c>
      <c r="BE88" s="189" t="s">
        <v>249</v>
      </c>
      <c r="BF88" s="189" t="s">
        <v>140</v>
      </c>
      <c r="BG88" s="189" t="s">
        <v>249</v>
      </c>
      <c r="BH88" s="189" t="s">
        <v>249</v>
      </c>
      <c r="BI88" s="189" t="s">
        <v>249</v>
      </c>
      <c r="BJ88" s="189" t="s">
        <v>249</v>
      </c>
      <c r="BK88" s="189" t="s">
        <v>142</v>
      </c>
      <c r="BL88" s="189" t="s">
        <v>143</v>
      </c>
      <c r="BM88" s="189" t="s">
        <v>144</v>
      </c>
      <c r="BN88" s="189" t="s">
        <v>249</v>
      </c>
      <c r="BO88" s="189" t="s">
        <v>249</v>
      </c>
      <c r="BP88" s="189" t="s">
        <v>249</v>
      </c>
      <c r="BQ88" s="189" t="s">
        <v>174</v>
      </c>
      <c r="BR88" s="189" t="s">
        <v>249</v>
      </c>
      <c r="BS88" s="189" t="s">
        <v>148</v>
      </c>
      <c r="BT88" s="189" t="s">
        <v>249</v>
      </c>
      <c r="BU88" s="189" t="s">
        <v>249</v>
      </c>
      <c r="BV88" s="182" t="s">
        <v>249</v>
      </c>
      <c r="BW88" s="182" t="s">
        <v>249</v>
      </c>
      <c r="BX88" s="182" t="s">
        <v>166</v>
      </c>
      <c r="BY88" s="182" t="s">
        <v>177</v>
      </c>
      <c r="BZ88" s="182" t="s">
        <v>168</v>
      </c>
      <c r="CA88" s="182" t="s">
        <v>170</v>
      </c>
      <c r="CB88" s="182" t="s">
        <v>179</v>
      </c>
      <c r="CC88" s="182" t="s">
        <v>170</v>
      </c>
      <c r="CD88" s="180" t="s">
        <v>160</v>
      </c>
    </row>
    <row r="89" spans="1:82" ht="14.5" x14ac:dyDescent="0.35">
      <c r="A89">
        <v>17</v>
      </c>
      <c r="B89" s="343"/>
      <c r="C89" s="97">
        <v>45985.618750000001</v>
      </c>
      <c r="D89" s="239" t="s">
        <v>718</v>
      </c>
      <c r="E89" s="236" t="s">
        <v>815</v>
      </c>
      <c r="F89" s="100" t="s">
        <v>30</v>
      </c>
      <c r="G89" s="5" t="s">
        <v>13</v>
      </c>
      <c r="H89" s="9" t="s">
        <v>44</v>
      </c>
      <c r="I89" s="11">
        <v>1</v>
      </c>
      <c r="J89" s="98" t="s">
        <v>180</v>
      </c>
      <c r="K89" s="98" t="s">
        <v>158</v>
      </c>
      <c r="L89" s="98" t="s">
        <v>173</v>
      </c>
      <c r="M89" s="98" t="s">
        <v>249</v>
      </c>
      <c r="N89" s="98" t="s">
        <v>249</v>
      </c>
      <c r="O89" s="98" t="s">
        <v>249</v>
      </c>
      <c r="P89" s="98" t="s">
        <v>249</v>
      </c>
      <c r="Q89" s="98" t="s">
        <v>249</v>
      </c>
      <c r="R89" s="98" t="s">
        <v>249</v>
      </c>
      <c r="S89" s="98" t="s">
        <v>249</v>
      </c>
      <c r="T89" s="98" t="s">
        <v>249</v>
      </c>
      <c r="U89" s="98" t="s">
        <v>109</v>
      </c>
      <c r="V89" s="98" t="s">
        <v>249</v>
      </c>
      <c r="W89" s="98" t="s">
        <v>249</v>
      </c>
      <c r="X89" s="98" t="s">
        <v>112</v>
      </c>
      <c r="Y89" s="98" t="s">
        <v>249</v>
      </c>
      <c r="Z89" s="98" t="s">
        <v>249</v>
      </c>
      <c r="AA89" s="98" t="s">
        <v>249</v>
      </c>
      <c r="AB89" s="98" t="s">
        <v>161</v>
      </c>
      <c r="AC89" s="98" t="s">
        <v>249</v>
      </c>
      <c r="AD89" s="98" t="s">
        <v>165</v>
      </c>
      <c r="AE89" s="98" t="s">
        <v>118</v>
      </c>
      <c r="AF89" s="98" t="s">
        <v>249</v>
      </c>
      <c r="AG89" s="98" t="s">
        <v>249</v>
      </c>
      <c r="AH89" s="98" t="s">
        <v>249</v>
      </c>
      <c r="AI89" s="98" t="s">
        <v>249</v>
      </c>
      <c r="AJ89" s="98" t="s">
        <v>123</v>
      </c>
      <c r="AK89" s="98" t="s">
        <v>249</v>
      </c>
      <c r="AL89" s="98" t="s">
        <v>249</v>
      </c>
      <c r="AM89" s="98" t="s">
        <v>126</v>
      </c>
      <c r="AN89" s="98" t="s">
        <v>249</v>
      </c>
      <c r="AO89" s="98" t="s">
        <v>249</v>
      </c>
      <c r="AP89" s="98" t="s">
        <v>127</v>
      </c>
      <c r="AQ89" s="98" t="s">
        <v>128</v>
      </c>
      <c r="AR89" s="98" t="s">
        <v>249</v>
      </c>
      <c r="AS89" s="98" t="s">
        <v>130</v>
      </c>
      <c r="AT89" s="98" t="s">
        <v>131</v>
      </c>
      <c r="AU89" s="98" t="s">
        <v>249</v>
      </c>
      <c r="AV89" s="98" t="s">
        <v>249</v>
      </c>
      <c r="AW89" s="98" t="s">
        <v>249</v>
      </c>
      <c r="AX89" s="98" t="s">
        <v>249</v>
      </c>
      <c r="AY89" s="98" t="s">
        <v>249</v>
      </c>
      <c r="AZ89" s="98" t="s">
        <v>249</v>
      </c>
      <c r="BA89" s="98" t="s">
        <v>249</v>
      </c>
      <c r="BB89" s="98" t="s">
        <v>249</v>
      </c>
      <c r="BC89" s="98" t="s">
        <v>249</v>
      </c>
      <c r="BD89" s="98" t="s">
        <v>138</v>
      </c>
      <c r="BE89" s="98" t="s">
        <v>249</v>
      </c>
      <c r="BF89" s="98" t="s">
        <v>140</v>
      </c>
      <c r="BG89" s="98" t="s">
        <v>141</v>
      </c>
      <c r="BH89" s="98" t="s">
        <v>249</v>
      </c>
      <c r="BI89" s="98" t="s">
        <v>249</v>
      </c>
      <c r="BJ89" s="98" t="s">
        <v>249</v>
      </c>
      <c r="BK89" s="98" t="s">
        <v>142</v>
      </c>
      <c r="BL89" s="98" t="s">
        <v>143</v>
      </c>
      <c r="BM89" s="98" t="s">
        <v>249</v>
      </c>
      <c r="BN89" s="98" t="s">
        <v>249</v>
      </c>
      <c r="BO89" s="98" t="s">
        <v>249</v>
      </c>
      <c r="BP89" s="98" t="s">
        <v>249</v>
      </c>
      <c r="BQ89" s="98" t="s">
        <v>165</v>
      </c>
      <c r="BR89" s="98" t="s">
        <v>249</v>
      </c>
      <c r="BS89" s="98" t="s">
        <v>249</v>
      </c>
      <c r="BT89" s="98" t="s">
        <v>149</v>
      </c>
      <c r="BU89" s="98" t="s">
        <v>150</v>
      </c>
      <c r="BV89" s="98" t="s">
        <v>249</v>
      </c>
      <c r="BW89" s="98" t="s">
        <v>249</v>
      </c>
      <c r="BX89" s="98" t="s">
        <v>166</v>
      </c>
      <c r="BY89" s="98" t="s">
        <v>167</v>
      </c>
      <c r="BZ89" s="98" t="s">
        <v>168</v>
      </c>
      <c r="CA89" s="98" t="s">
        <v>170</v>
      </c>
      <c r="CB89" s="98" t="s">
        <v>249</v>
      </c>
      <c r="CC89" s="98" t="s">
        <v>170</v>
      </c>
      <c r="CD89" s="180" t="s">
        <v>160</v>
      </c>
    </row>
    <row r="90" spans="1:82" ht="14.5" x14ac:dyDescent="0.35">
      <c r="A90">
        <v>16</v>
      </c>
      <c r="B90" s="343"/>
      <c r="C90" s="97">
        <v>45984.810416666667</v>
      </c>
      <c r="D90" s="239" t="s">
        <v>719</v>
      </c>
      <c r="E90" s="236" t="s">
        <v>817</v>
      </c>
      <c r="F90" s="100" t="s">
        <v>12</v>
      </c>
      <c r="G90" s="5" t="s">
        <v>25</v>
      </c>
      <c r="H90" s="5" t="s">
        <v>26</v>
      </c>
      <c r="I90" s="102">
        <v>1</v>
      </c>
      <c r="J90" s="98" t="s">
        <v>180</v>
      </c>
      <c r="K90" s="98" t="s">
        <v>158</v>
      </c>
      <c r="L90" s="98" t="s">
        <v>173</v>
      </c>
      <c r="M90" s="98" t="s">
        <v>101</v>
      </c>
      <c r="N90" s="98" t="s">
        <v>249</v>
      </c>
      <c r="O90" s="98" t="s">
        <v>249</v>
      </c>
      <c r="P90" s="98" t="s">
        <v>249</v>
      </c>
      <c r="Q90" s="98" t="s">
        <v>249</v>
      </c>
      <c r="R90" s="98" t="s">
        <v>249</v>
      </c>
      <c r="S90" s="98" t="s">
        <v>249</v>
      </c>
      <c r="T90" s="98" t="s">
        <v>108</v>
      </c>
      <c r="U90" s="98" t="s">
        <v>249</v>
      </c>
      <c r="V90" s="98" t="s">
        <v>249</v>
      </c>
      <c r="W90" s="98" t="s">
        <v>249</v>
      </c>
      <c r="X90" s="98" t="s">
        <v>112</v>
      </c>
      <c r="Y90" s="98" t="s">
        <v>249</v>
      </c>
      <c r="Z90" s="98" t="s">
        <v>249</v>
      </c>
      <c r="AA90" s="98" t="s">
        <v>249</v>
      </c>
      <c r="AB90" s="98" t="s">
        <v>182</v>
      </c>
      <c r="AC90" s="98" t="s">
        <v>249</v>
      </c>
      <c r="AD90" s="98" t="s">
        <v>165</v>
      </c>
      <c r="AE90" s="98" t="s">
        <v>118</v>
      </c>
      <c r="AF90" s="98" t="s">
        <v>249</v>
      </c>
      <c r="AG90" s="98" t="s">
        <v>120</v>
      </c>
      <c r="AH90" s="98" t="s">
        <v>249</v>
      </c>
      <c r="AI90" s="98" t="s">
        <v>249</v>
      </c>
      <c r="AJ90" s="98" t="s">
        <v>249</v>
      </c>
      <c r="AK90" s="98" t="s">
        <v>124</v>
      </c>
      <c r="AL90" s="98" t="s">
        <v>249</v>
      </c>
      <c r="AM90" s="98" t="s">
        <v>249</v>
      </c>
      <c r="AN90" s="98" t="s">
        <v>249</v>
      </c>
      <c r="AO90" s="98" t="s">
        <v>249</v>
      </c>
      <c r="AP90" s="98" t="s">
        <v>249</v>
      </c>
      <c r="AQ90" s="98" t="s">
        <v>249</v>
      </c>
      <c r="AR90" s="98" t="s">
        <v>249</v>
      </c>
      <c r="AS90" s="98" t="s">
        <v>249</v>
      </c>
      <c r="AT90" s="98" t="s">
        <v>249</v>
      </c>
      <c r="AU90" s="98" t="s">
        <v>249</v>
      </c>
      <c r="AV90" s="98" t="s">
        <v>132</v>
      </c>
      <c r="AW90" s="98" t="s">
        <v>249</v>
      </c>
      <c r="AX90" s="98" t="s">
        <v>249</v>
      </c>
      <c r="AY90" s="98" t="s">
        <v>249</v>
      </c>
      <c r="AZ90" s="98" t="s">
        <v>135</v>
      </c>
      <c r="BA90" s="98" t="s">
        <v>249</v>
      </c>
      <c r="BB90" s="98" t="s">
        <v>249</v>
      </c>
      <c r="BC90" s="98" t="s">
        <v>249</v>
      </c>
      <c r="BD90" s="98" t="s">
        <v>249</v>
      </c>
      <c r="BE90" s="98" t="s">
        <v>249</v>
      </c>
      <c r="BF90" s="98" t="s">
        <v>140</v>
      </c>
      <c r="BG90" s="98" t="s">
        <v>141</v>
      </c>
      <c r="BH90" s="98" t="s">
        <v>249</v>
      </c>
      <c r="BI90" s="98" t="s">
        <v>249</v>
      </c>
      <c r="BJ90" s="98" t="s">
        <v>249</v>
      </c>
      <c r="BK90" s="98" t="s">
        <v>249</v>
      </c>
      <c r="BL90" s="98" t="s">
        <v>249</v>
      </c>
      <c r="BM90" s="98" t="s">
        <v>249</v>
      </c>
      <c r="BN90" s="98" t="s">
        <v>145</v>
      </c>
      <c r="BO90" s="98" t="s">
        <v>249</v>
      </c>
      <c r="BP90" s="98" t="s">
        <v>249</v>
      </c>
      <c r="BQ90" s="98" t="s">
        <v>174</v>
      </c>
      <c r="BR90" s="98" t="s">
        <v>249</v>
      </c>
      <c r="BS90" s="98" t="s">
        <v>249</v>
      </c>
      <c r="BT90" s="98" t="s">
        <v>249</v>
      </c>
      <c r="BU90" s="98" t="s">
        <v>150</v>
      </c>
      <c r="BV90" s="98" t="s">
        <v>249</v>
      </c>
      <c r="BW90" s="98" t="s">
        <v>249</v>
      </c>
      <c r="BX90" s="98" t="s">
        <v>176</v>
      </c>
      <c r="BY90" s="98" t="s">
        <v>174</v>
      </c>
      <c r="BZ90" s="98" t="s">
        <v>165</v>
      </c>
      <c r="CA90" s="98" t="s">
        <v>169</v>
      </c>
      <c r="CB90" s="98" t="s">
        <v>249</v>
      </c>
      <c r="CC90" s="98" t="s">
        <v>170</v>
      </c>
      <c r="CD90" s="180" t="s">
        <v>160</v>
      </c>
    </row>
    <row r="91" spans="1:82" ht="14.5" x14ac:dyDescent="0.35">
      <c r="A91">
        <v>15</v>
      </c>
      <c r="B91" s="343"/>
      <c r="C91" s="97">
        <v>45981.481944444444</v>
      </c>
      <c r="D91" s="239" t="s">
        <v>720</v>
      </c>
      <c r="E91" s="236" t="s">
        <v>818</v>
      </c>
      <c r="F91" s="100" t="s">
        <v>30</v>
      </c>
      <c r="G91" s="5" t="s">
        <v>31</v>
      </c>
      <c r="H91" s="5" t="s">
        <v>26</v>
      </c>
      <c r="I91" s="101" t="s">
        <v>32</v>
      </c>
      <c r="J91" s="98" t="s">
        <v>180</v>
      </c>
      <c r="K91" s="98" t="s">
        <v>191</v>
      </c>
      <c r="L91" s="98" t="s">
        <v>159</v>
      </c>
      <c r="M91" s="98" t="s">
        <v>249</v>
      </c>
      <c r="N91" s="98" t="s">
        <v>249</v>
      </c>
      <c r="O91" s="98" t="s">
        <v>249</v>
      </c>
      <c r="P91" s="98" t="s">
        <v>249</v>
      </c>
      <c r="Q91" s="98" t="s">
        <v>249</v>
      </c>
      <c r="R91" s="98" t="s">
        <v>106</v>
      </c>
      <c r="S91" s="98" t="s">
        <v>249</v>
      </c>
      <c r="T91" s="98" t="s">
        <v>108</v>
      </c>
      <c r="U91" s="98" t="s">
        <v>249</v>
      </c>
      <c r="V91" s="98" t="s">
        <v>110</v>
      </c>
      <c r="W91" s="98" t="s">
        <v>249</v>
      </c>
      <c r="X91" s="98" t="s">
        <v>249</v>
      </c>
      <c r="Y91" s="98" t="s">
        <v>249</v>
      </c>
      <c r="Z91" s="98" t="s">
        <v>249</v>
      </c>
      <c r="AA91" s="98" t="s">
        <v>249</v>
      </c>
      <c r="AB91" s="98" t="s">
        <v>161</v>
      </c>
      <c r="AC91" s="98" t="s">
        <v>249</v>
      </c>
      <c r="AD91" s="98" t="s">
        <v>162</v>
      </c>
      <c r="AE91" s="98" t="s">
        <v>249</v>
      </c>
      <c r="AF91" s="98" t="s">
        <v>249</v>
      </c>
      <c r="AG91" s="98" t="s">
        <v>249</v>
      </c>
      <c r="AH91" s="98" t="s">
        <v>249</v>
      </c>
      <c r="AI91" s="98" t="s">
        <v>122</v>
      </c>
      <c r="AJ91" s="98" t="s">
        <v>249</v>
      </c>
      <c r="AK91" s="98" t="s">
        <v>124</v>
      </c>
      <c r="AL91" s="98" t="s">
        <v>249</v>
      </c>
      <c r="AM91" s="98" t="s">
        <v>126</v>
      </c>
      <c r="AN91" s="98" t="s">
        <v>249</v>
      </c>
      <c r="AO91" s="98" t="s">
        <v>249</v>
      </c>
      <c r="AP91" s="98" t="s">
        <v>127</v>
      </c>
      <c r="AQ91" s="98" t="s">
        <v>249</v>
      </c>
      <c r="AR91" s="98" t="s">
        <v>129</v>
      </c>
      <c r="AS91" s="98" t="s">
        <v>130</v>
      </c>
      <c r="AT91" s="98" t="s">
        <v>131</v>
      </c>
      <c r="AU91" s="98" t="s">
        <v>249</v>
      </c>
      <c r="AV91" s="98" t="s">
        <v>249</v>
      </c>
      <c r="AW91" s="98" t="s">
        <v>249</v>
      </c>
      <c r="AX91" s="98" t="s">
        <v>133</v>
      </c>
      <c r="AY91" s="98" t="s">
        <v>134</v>
      </c>
      <c r="AZ91" s="98" t="s">
        <v>135</v>
      </c>
      <c r="BA91" s="98" t="s">
        <v>121</v>
      </c>
      <c r="BB91" s="98" t="s">
        <v>136</v>
      </c>
      <c r="BC91" s="98" t="s">
        <v>137</v>
      </c>
      <c r="BD91" s="98" t="s">
        <v>138</v>
      </c>
      <c r="BE91" s="98" t="s">
        <v>249</v>
      </c>
      <c r="BF91" s="98" t="s">
        <v>140</v>
      </c>
      <c r="BG91" s="98" t="s">
        <v>249</v>
      </c>
      <c r="BH91" s="98" t="s">
        <v>249</v>
      </c>
      <c r="BI91" s="98" t="s">
        <v>249</v>
      </c>
      <c r="BJ91" s="98" t="s">
        <v>249</v>
      </c>
      <c r="BK91" s="98" t="s">
        <v>142</v>
      </c>
      <c r="BL91" s="98" t="s">
        <v>249</v>
      </c>
      <c r="BM91" s="98" t="s">
        <v>144</v>
      </c>
      <c r="BN91" s="98" t="s">
        <v>249</v>
      </c>
      <c r="BO91" s="98" t="s">
        <v>249</v>
      </c>
      <c r="BP91" s="98" t="s">
        <v>249</v>
      </c>
      <c r="BQ91" s="98" t="s">
        <v>165</v>
      </c>
      <c r="BR91" s="98" t="s">
        <v>147</v>
      </c>
      <c r="BS91" s="98" t="s">
        <v>249</v>
      </c>
      <c r="BT91" s="98" t="s">
        <v>149</v>
      </c>
      <c r="BU91" s="98" t="s">
        <v>150</v>
      </c>
      <c r="BV91" s="98" t="s">
        <v>249</v>
      </c>
      <c r="BW91" s="98" t="s">
        <v>249</v>
      </c>
      <c r="BX91" s="98" t="s">
        <v>176</v>
      </c>
      <c r="BY91" s="98" t="s">
        <v>174</v>
      </c>
      <c r="BZ91" s="98" t="s">
        <v>168</v>
      </c>
      <c r="CA91" s="98" t="s">
        <v>170</v>
      </c>
      <c r="CB91" s="98" t="s">
        <v>249</v>
      </c>
      <c r="CC91" s="98" t="s">
        <v>170</v>
      </c>
      <c r="CD91" s="180" t="s">
        <v>160</v>
      </c>
    </row>
    <row r="92" spans="1:82" ht="14.5" x14ac:dyDescent="0.35">
      <c r="A92">
        <v>14</v>
      </c>
      <c r="B92" s="343"/>
      <c r="C92" s="97">
        <v>45979.84097222222</v>
      </c>
      <c r="D92" s="239" t="s">
        <v>721</v>
      </c>
      <c r="E92" s="236" t="s">
        <v>815</v>
      </c>
      <c r="F92" s="100" t="s">
        <v>42</v>
      </c>
      <c r="G92" s="5" t="s">
        <v>25</v>
      </c>
      <c r="H92" s="5" t="s">
        <v>26</v>
      </c>
      <c r="I92" s="101" t="s">
        <v>22</v>
      </c>
      <c r="J92" s="98" t="s">
        <v>184</v>
      </c>
      <c r="K92" s="98" t="s">
        <v>172</v>
      </c>
      <c r="L92" s="98" t="s">
        <v>159</v>
      </c>
      <c r="M92" s="98" t="s">
        <v>101</v>
      </c>
      <c r="N92" s="98" t="s">
        <v>249</v>
      </c>
      <c r="O92" s="98" t="s">
        <v>249</v>
      </c>
      <c r="P92" s="98" t="s">
        <v>249</v>
      </c>
      <c r="Q92" s="98" t="s">
        <v>249</v>
      </c>
      <c r="R92" s="98" t="s">
        <v>249</v>
      </c>
      <c r="S92" s="98" t="s">
        <v>249</v>
      </c>
      <c r="T92" s="98" t="s">
        <v>108</v>
      </c>
      <c r="U92" s="98" t="s">
        <v>109</v>
      </c>
      <c r="V92" s="98" t="s">
        <v>249</v>
      </c>
      <c r="W92" s="98" t="s">
        <v>249</v>
      </c>
      <c r="X92" s="98" t="s">
        <v>249</v>
      </c>
      <c r="Y92" s="98" t="s">
        <v>249</v>
      </c>
      <c r="Z92" s="98" t="s">
        <v>249</v>
      </c>
      <c r="AA92" s="98" t="s">
        <v>249</v>
      </c>
      <c r="AB92" s="98" t="s">
        <v>182</v>
      </c>
      <c r="AC92" s="98" t="s">
        <v>249</v>
      </c>
      <c r="AD92" s="98" t="s">
        <v>185</v>
      </c>
      <c r="AE92" s="98" t="s">
        <v>249</v>
      </c>
      <c r="AF92" s="98" t="s">
        <v>249</v>
      </c>
      <c r="AG92" s="98" t="s">
        <v>249</v>
      </c>
      <c r="AH92" s="98" t="s">
        <v>249</v>
      </c>
      <c r="AI92" s="98" t="s">
        <v>122</v>
      </c>
      <c r="AJ92" s="98" t="s">
        <v>123</v>
      </c>
      <c r="AK92" s="98" t="s">
        <v>249</v>
      </c>
      <c r="AL92" s="98" t="s">
        <v>249</v>
      </c>
      <c r="AM92" s="98" t="s">
        <v>126</v>
      </c>
      <c r="AN92" s="98" t="s">
        <v>249</v>
      </c>
      <c r="AO92" s="98" t="s">
        <v>249</v>
      </c>
      <c r="AP92" s="98" t="s">
        <v>127</v>
      </c>
      <c r="AQ92" s="98" t="s">
        <v>249</v>
      </c>
      <c r="AR92" s="98" t="s">
        <v>249</v>
      </c>
      <c r="AS92" s="98" t="s">
        <v>130</v>
      </c>
      <c r="AT92" s="98" t="s">
        <v>249</v>
      </c>
      <c r="AU92" s="98" t="s">
        <v>249</v>
      </c>
      <c r="AV92" s="98" t="s">
        <v>249</v>
      </c>
      <c r="AW92" s="98" t="s">
        <v>249</v>
      </c>
      <c r="AX92" s="98" t="s">
        <v>133</v>
      </c>
      <c r="AY92" s="98" t="s">
        <v>249</v>
      </c>
      <c r="AZ92" s="98" t="s">
        <v>249</v>
      </c>
      <c r="BA92" s="98" t="s">
        <v>249</v>
      </c>
      <c r="BB92" s="98" t="s">
        <v>249</v>
      </c>
      <c r="BC92" s="98" t="s">
        <v>137</v>
      </c>
      <c r="BD92" s="98" t="s">
        <v>138</v>
      </c>
      <c r="BE92" s="98" t="s">
        <v>139</v>
      </c>
      <c r="BF92" s="98" t="s">
        <v>140</v>
      </c>
      <c r="BG92" s="98" t="s">
        <v>249</v>
      </c>
      <c r="BH92" s="98" t="s">
        <v>249</v>
      </c>
      <c r="BI92" s="98" t="s">
        <v>249</v>
      </c>
      <c r="BJ92" s="98" t="s">
        <v>249</v>
      </c>
      <c r="BK92" s="98" t="s">
        <v>249</v>
      </c>
      <c r="BL92" s="98" t="s">
        <v>249</v>
      </c>
      <c r="BM92" s="98" t="s">
        <v>249</v>
      </c>
      <c r="BN92" s="98" t="s">
        <v>145</v>
      </c>
      <c r="BO92" s="98" t="s">
        <v>249</v>
      </c>
      <c r="BP92" s="98" t="s">
        <v>249</v>
      </c>
      <c r="BQ92" s="98" t="s">
        <v>174</v>
      </c>
      <c r="BR92" s="98" t="s">
        <v>249</v>
      </c>
      <c r="BS92" s="98" t="s">
        <v>148</v>
      </c>
      <c r="BT92" s="98" t="s">
        <v>249</v>
      </c>
      <c r="BU92" s="98" t="s">
        <v>249</v>
      </c>
      <c r="BV92" s="98" t="s">
        <v>249</v>
      </c>
      <c r="BW92" s="98" t="s">
        <v>249</v>
      </c>
      <c r="BX92" s="98" t="s">
        <v>166</v>
      </c>
      <c r="BY92" s="98" t="s">
        <v>177</v>
      </c>
      <c r="BZ92" s="98" t="s">
        <v>264</v>
      </c>
      <c r="CA92" s="98" t="s">
        <v>170</v>
      </c>
      <c r="CB92" s="98" t="s">
        <v>249</v>
      </c>
      <c r="CC92" s="98" t="s">
        <v>169</v>
      </c>
    </row>
    <row r="93" spans="1:82" ht="14.5" x14ac:dyDescent="0.35">
      <c r="A93">
        <v>13</v>
      </c>
      <c r="B93" s="343"/>
      <c r="C93" s="97">
        <v>45979.69027777778</v>
      </c>
      <c r="D93" s="239" t="s">
        <v>722</v>
      </c>
      <c r="E93" s="236" t="s">
        <v>817</v>
      </c>
      <c r="F93" s="10" t="s">
        <v>12</v>
      </c>
      <c r="G93" s="5" t="s">
        <v>31</v>
      </c>
      <c r="H93" s="5" t="s">
        <v>26</v>
      </c>
      <c r="I93" s="101" t="s">
        <v>27</v>
      </c>
      <c r="J93" s="98" t="s">
        <v>157</v>
      </c>
      <c r="K93" s="98" t="s">
        <v>158</v>
      </c>
      <c r="L93" s="98" t="s">
        <v>159</v>
      </c>
      <c r="M93" s="98" t="s">
        <v>249</v>
      </c>
      <c r="N93" s="98" t="s">
        <v>249</v>
      </c>
      <c r="O93" s="98" t="s">
        <v>249</v>
      </c>
      <c r="P93" s="98" t="s">
        <v>249</v>
      </c>
      <c r="Q93" s="98" t="s">
        <v>249</v>
      </c>
      <c r="R93" s="98" t="s">
        <v>249</v>
      </c>
      <c r="S93" s="98" t="s">
        <v>249</v>
      </c>
      <c r="T93" s="98" t="s">
        <v>108</v>
      </c>
      <c r="U93" s="98" t="s">
        <v>249</v>
      </c>
      <c r="V93" s="98" t="s">
        <v>110</v>
      </c>
      <c r="W93" s="98" t="s">
        <v>249</v>
      </c>
      <c r="X93" s="98" t="s">
        <v>249</v>
      </c>
      <c r="Y93" s="98" t="s">
        <v>249</v>
      </c>
      <c r="Z93" s="98" t="s">
        <v>249</v>
      </c>
      <c r="AA93" s="98" t="s">
        <v>249</v>
      </c>
      <c r="AB93" s="98" t="s">
        <v>161</v>
      </c>
      <c r="AC93" s="98" t="s">
        <v>249</v>
      </c>
      <c r="AD93" s="98" t="s">
        <v>162</v>
      </c>
      <c r="AE93" s="98" t="s">
        <v>118</v>
      </c>
      <c r="AF93" s="98" t="s">
        <v>249</v>
      </c>
      <c r="AG93" s="98" t="s">
        <v>249</v>
      </c>
      <c r="AH93" s="98" t="s">
        <v>249</v>
      </c>
      <c r="AI93" s="98" t="s">
        <v>122</v>
      </c>
      <c r="AJ93" s="98" t="s">
        <v>123</v>
      </c>
      <c r="AK93" s="98" t="s">
        <v>249</v>
      </c>
      <c r="AL93" s="98" t="s">
        <v>249</v>
      </c>
      <c r="AM93" s="98" t="s">
        <v>249</v>
      </c>
      <c r="AN93" s="98" t="s">
        <v>249</v>
      </c>
      <c r="AO93" s="98" t="s">
        <v>249</v>
      </c>
      <c r="AP93" s="98" t="s">
        <v>127</v>
      </c>
      <c r="AQ93" s="98" t="s">
        <v>128</v>
      </c>
      <c r="AR93" s="98" t="s">
        <v>129</v>
      </c>
      <c r="AS93" s="98" t="s">
        <v>130</v>
      </c>
      <c r="AT93" s="98" t="s">
        <v>131</v>
      </c>
      <c r="AU93" s="98" t="s">
        <v>249</v>
      </c>
      <c r="AV93" s="98" t="s">
        <v>249</v>
      </c>
      <c r="AW93" s="98" t="s">
        <v>249</v>
      </c>
      <c r="AX93" s="98" t="s">
        <v>249</v>
      </c>
      <c r="AY93" s="98" t="s">
        <v>134</v>
      </c>
      <c r="AZ93" s="98" t="s">
        <v>135</v>
      </c>
      <c r="BA93" s="98" t="s">
        <v>121</v>
      </c>
      <c r="BB93" s="98" t="s">
        <v>136</v>
      </c>
      <c r="BC93" s="98" t="s">
        <v>249</v>
      </c>
      <c r="BD93" s="98" t="s">
        <v>138</v>
      </c>
      <c r="BE93" s="98" t="s">
        <v>139</v>
      </c>
      <c r="BF93" s="98" t="s">
        <v>140</v>
      </c>
      <c r="BG93" s="98" t="s">
        <v>141</v>
      </c>
      <c r="BH93" s="98" t="s">
        <v>249</v>
      </c>
      <c r="BI93" s="98" t="s">
        <v>249</v>
      </c>
      <c r="BJ93" s="98" t="s">
        <v>249</v>
      </c>
      <c r="BK93" s="98" t="s">
        <v>142</v>
      </c>
      <c r="BL93" s="98" t="s">
        <v>143</v>
      </c>
      <c r="BM93" s="98" t="s">
        <v>144</v>
      </c>
      <c r="BN93" s="98" t="s">
        <v>249</v>
      </c>
      <c r="BO93" s="98" t="s">
        <v>249</v>
      </c>
      <c r="BP93" s="98" t="s">
        <v>249</v>
      </c>
      <c r="BQ93" s="98" t="s">
        <v>178</v>
      </c>
      <c r="BR93" s="98" t="s">
        <v>147</v>
      </c>
      <c r="BS93" s="98" t="s">
        <v>249</v>
      </c>
      <c r="BT93" s="98" t="s">
        <v>149</v>
      </c>
      <c r="BU93" s="98" t="s">
        <v>150</v>
      </c>
      <c r="BV93" s="98" t="s">
        <v>113</v>
      </c>
      <c r="BW93" s="98" t="s">
        <v>265</v>
      </c>
      <c r="BX93" s="98" t="s">
        <v>166</v>
      </c>
      <c r="BY93" s="98" t="s">
        <v>167</v>
      </c>
      <c r="BZ93" s="98" t="s">
        <v>178</v>
      </c>
      <c r="CA93" s="98" t="s">
        <v>170</v>
      </c>
      <c r="CB93" s="98" t="s">
        <v>249</v>
      </c>
      <c r="CC93" s="98" t="s">
        <v>170</v>
      </c>
      <c r="CD93" s="180" t="s">
        <v>160</v>
      </c>
    </row>
    <row r="94" spans="1:82" ht="14.5" x14ac:dyDescent="0.35">
      <c r="A94">
        <v>12</v>
      </c>
      <c r="B94" s="343"/>
      <c r="C94" s="97">
        <v>45979.68472222222</v>
      </c>
      <c r="D94" s="239" t="s">
        <v>723</v>
      </c>
      <c r="E94" s="236" t="s">
        <v>818</v>
      </c>
      <c r="F94" s="100" t="s">
        <v>36</v>
      </c>
      <c r="G94" s="5" t="s">
        <v>13</v>
      </c>
      <c r="H94" s="5" t="s">
        <v>26</v>
      </c>
      <c r="I94" s="11">
        <v>1</v>
      </c>
      <c r="J94" s="98" t="s">
        <v>171</v>
      </c>
      <c r="K94" s="98" t="s">
        <v>191</v>
      </c>
      <c r="L94" s="98" t="s">
        <v>159</v>
      </c>
      <c r="M94" s="98" t="s">
        <v>249</v>
      </c>
      <c r="N94" s="98" t="s">
        <v>249</v>
      </c>
      <c r="O94" s="98" t="s">
        <v>249</v>
      </c>
      <c r="P94" s="98" t="s">
        <v>249</v>
      </c>
      <c r="Q94" s="98" t="s">
        <v>249</v>
      </c>
      <c r="R94" s="98" t="s">
        <v>249</v>
      </c>
      <c r="S94" s="98" t="s">
        <v>249</v>
      </c>
      <c r="T94" s="98" t="s">
        <v>108</v>
      </c>
      <c r="U94" s="98" t="s">
        <v>249</v>
      </c>
      <c r="V94" s="98" t="s">
        <v>110</v>
      </c>
      <c r="W94" s="98" t="s">
        <v>249</v>
      </c>
      <c r="X94" s="98" t="s">
        <v>249</v>
      </c>
      <c r="Y94" s="98" t="s">
        <v>249</v>
      </c>
      <c r="Z94" s="98" t="s">
        <v>249</v>
      </c>
      <c r="AA94" s="98" t="s">
        <v>249</v>
      </c>
      <c r="AB94" s="98" t="s">
        <v>161</v>
      </c>
      <c r="AC94" s="98" t="s">
        <v>249</v>
      </c>
      <c r="AD94" s="98" t="s">
        <v>165</v>
      </c>
      <c r="AE94" s="98" t="s">
        <v>118</v>
      </c>
      <c r="AF94" s="98" t="s">
        <v>249</v>
      </c>
      <c r="AG94" s="98" t="s">
        <v>249</v>
      </c>
      <c r="AH94" s="98" t="s">
        <v>249</v>
      </c>
      <c r="AI94" s="98" t="s">
        <v>122</v>
      </c>
      <c r="AJ94" s="98" t="s">
        <v>249</v>
      </c>
      <c r="AK94" s="98" t="s">
        <v>124</v>
      </c>
      <c r="AL94" s="98" t="s">
        <v>249</v>
      </c>
      <c r="AM94" s="98" t="s">
        <v>249</v>
      </c>
      <c r="AN94" s="98" t="s">
        <v>249</v>
      </c>
      <c r="AO94" s="98" t="s">
        <v>249</v>
      </c>
      <c r="AP94" s="98" t="s">
        <v>127</v>
      </c>
      <c r="AQ94" s="98" t="s">
        <v>128</v>
      </c>
      <c r="AR94" s="98" t="s">
        <v>129</v>
      </c>
      <c r="AS94" s="98" t="s">
        <v>130</v>
      </c>
      <c r="AT94" s="98" t="s">
        <v>131</v>
      </c>
      <c r="AU94" s="98" t="s">
        <v>249</v>
      </c>
      <c r="AV94" s="98" t="s">
        <v>249</v>
      </c>
      <c r="AW94" s="98" t="s">
        <v>249</v>
      </c>
      <c r="AX94" s="98" t="s">
        <v>249</v>
      </c>
      <c r="AY94" s="98" t="s">
        <v>134</v>
      </c>
      <c r="AZ94" s="98" t="s">
        <v>135</v>
      </c>
      <c r="BA94" s="98" t="s">
        <v>121</v>
      </c>
      <c r="BB94" s="98" t="s">
        <v>136</v>
      </c>
      <c r="BC94" s="98" t="s">
        <v>137</v>
      </c>
      <c r="BD94" s="98" t="s">
        <v>138</v>
      </c>
      <c r="BE94" s="98" t="s">
        <v>139</v>
      </c>
      <c r="BF94" s="98" t="s">
        <v>140</v>
      </c>
      <c r="BG94" s="98" t="s">
        <v>141</v>
      </c>
      <c r="BH94" s="98" t="s">
        <v>249</v>
      </c>
      <c r="BI94" s="98" t="s">
        <v>249</v>
      </c>
      <c r="BJ94" s="98" t="s">
        <v>249</v>
      </c>
      <c r="BK94" s="98" t="s">
        <v>142</v>
      </c>
      <c r="BL94" s="98" t="s">
        <v>143</v>
      </c>
      <c r="BM94" s="98" t="s">
        <v>144</v>
      </c>
      <c r="BN94" s="98" t="s">
        <v>249</v>
      </c>
      <c r="BO94" s="98" t="s">
        <v>249</v>
      </c>
      <c r="BP94" s="98" t="s">
        <v>249</v>
      </c>
      <c r="BQ94" s="98" t="s">
        <v>178</v>
      </c>
      <c r="BR94" s="98" t="s">
        <v>147</v>
      </c>
      <c r="BS94" s="98" t="s">
        <v>249</v>
      </c>
      <c r="BT94" s="98" t="s">
        <v>149</v>
      </c>
      <c r="BU94" s="98" t="s">
        <v>150</v>
      </c>
      <c r="BV94" s="98" t="s">
        <v>249</v>
      </c>
      <c r="BW94" s="98" t="s">
        <v>249</v>
      </c>
      <c r="BX94" s="98" t="s">
        <v>166</v>
      </c>
      <c r="BY94" s="98" t="s">
        <v>177</v>
      </c>
      <c r="BZ94" s="98" t="s">
        <v>168</v>
      </c>
      <c r="CA94" s="98" t="s">
        <v>169</v>
      </c>
      <c r="CB94" s="98" t="s">
        <v>249</v>
      </c>
      <c r="CC94" s="98" t="s">
        <v>169</v>
      </c>
    </row>
    <row r="95" spans="1:82" ht="14.5" x14ac:dyDescent="0.35">
      <c r="A95">
        <v>11</v>
      </c>
      <c r="B95" s="343"/>
      <c r="C95" s="97">
        <v>45979.442361111112</v>
      </c>
      <c r="D95" s="239" t="s">
        <v>724</v>
      </c>
      <c r="E95" s="236" t="s">
        <v>815</v>
      </c>
      <c r="F95" s="100" t="s">
        <v>30</v>
      </c>
      <c r="G95" s="5" t="s">
        <v>31</v>
      </c>
      <c r="H95" s="5" t="s">
        <v>29</v>
      </c>
      <c r="I95" s="101" t="s">
        <v>32</v>
      </c>
      <c r="J95" s="98" t="s">
        <v>157</v>
      </c>
      <c r="K95" s="98" t="s">
        <v>191</v>
      </c>
      <c r="L95" s="98" t="s">
        <v>159</v>
      </c>
      <c r="M95" s="98" t="s">
        <v>249</v>
      </c>
      <c r="N95" s="98" t="s">
        <v>249</v>
      </c>
      <c r="O95" s="98" t="s">
        <v>249</v>
      </c>
      <c r="P95" s="98" t="s">
        <v>249</v>
      </c>
      <c r="Q95" s="98" t="s">
        <v>249</v>
      </c>
      <c r="R95" s="98" t="s">
        <v>249</v>
      </c>
      <c r="S95" s="98" t="s">
        <v>249</v>
      </c>
      <c r="T95" s="98" t="s">
        <v>249</v>
      </c>
      <c r="U95" s="98" t="s">
        <v>109</v>
      </c>
      <c r="V95" s="98" t="s">
        <v>110</v>
      </c>
      <c r="W95" s="98" t="s">
        <v>249</v>
      </c>
      <c r="X95" s="98" t="s">
        <v>249</v>
      </c>
      <c r="Y95" s="98" t="s">
        <v>249</v>
      </c>
      <c r="Z95" s="98" t="s">
        <v>249</v>
      </c>
      <c r="AA95" s="98" t="s">
        <v>249</v>
      </c>
      <c r="AB95" s="98" t="s">
        <v>161</v>
      </c>
      <c r="AC95" s="98" t="s">
        <v>249</v>
      </c>
      <c r="AD95" s="98" t="s">
        <v>162</v>
      </c>
      <c r="AE95" s="98" t="s">
        <v>118</v>
      </c>
      <c r="AF95" s="98" t="s">
        <v>249</v>
      </c>
      <c r="AG95" s="98" t="s">
        <v>120</v>
      </c>
      <c r="AH95" s="98" t="s">
        <v>249</v>
      </c>
      <c r="AI95" s="98" t="s">
        <v>122</v>
      </c>
      <c r="AJ95" s="98" t="s">
        <v>249</v>
      </c>
      <c r="AK95" s="98" t="s">
        <v>249</v>
      </c>
      <c r="AL95" s="98" t="s">
        <v>249</v>
      </c>
      <c r="AM95" s="98" t="s">
        <v>249</v>
      </c>
      <c r="AN95" s="98" t="s">
        <v>249</v>
      </c>
      <c r="AO95" s="98" t="s">
        <v>249</v>
      </c>
      <c r="AP95" s="98" t="s">
        <v>127</v>
      </c>
      <c r="AQ95" s="98" t="s">
        <v>128</v>
      </c>
      <c r="AR95" s="98" t="s">
        <v>129</v>
      </c>
      <c r="AS95" s="98" t="s">
        <v>130</v>
      </c>
      <c r="AT95" s="98" t="s">
        <v>249</v>
      </c>
      <c r="AU95" s="98" t="s">
        <v>249</v>
      </c>
      <c r="AV95" s="98" t="s">
        <v>249</v>
      </c>
      <c r="AW95" s="98" t="s">
        <v>249</v>
      </c>
      <c r="AX95" s="98" t="s">
        <v>133</v>
      </c>
      <c r="AY95" s="98" t="s">
        <v>134</v>
      </c>
      <c r="AZ95" s="98" t="s">
        <v>249</v>
      </c>
      <c r="BA95" s="98" t="s">
        <v>121</v>
      </c>
      <c r="BB95" s="98" t="s">
        <v>136</v>
      </c>
      <c r="BC95" s="98" t="s">
        <v>137</v>
      </c>
      <c r="BD95" s="98" t="s">
        <v>138</v>
      </c>
      <c r="BE95" s="98" t="s">
        <v>139</v>
      </c>
      <c r="BF95" s="98" t="s">
        <v>249</v>
      </c>
      <c r="BG95" s="98" t="s">
        <v>141</v>
      </c>
      <c r="BH95" s="98" t="s">
        <v>249</v>
      </c>
      <c r="BI95" s="98" t="s">
        <v>249</v>
      </c>
      <c r="BJ95" s="98" t="s">
        <v>249</v>
      </c>
      <c r="BK95" s="98" t="s">
        <v>142</v>
      </c>
      <c r="BL95" s="98" t="s">
        <v>143</v>
      </c>
      <c r="BM95" s="98" t="s">
        <v>144</v>
      </c>
      <c r="BN95" s="98" t="s">
        <v>249</v>
      </c>
      <c r="BO95" s="98" t="s">
        <v>249</v>
      </c>
      <c r="BP95" s="98" t="s">
        <v>249</v>
      </c>
      <c r="BQ95" s="98" t="s">
        <v>165</v>
      </c>
      <c r="BR95" s="98" t="s">
        <v>147</v>
      </c>
      <c r="BS95" s="98" t="s">
        <v>249</v>
      </c>
      <c r="BT95" s="98" t="s">
        <v>249</v>
      </c>
      <c r="BU95" s="98" t="s">
        <v>150</v>
      </c>
      <c r="BV95" s="98" t="s">
        <v>249</v>
      </c>
      <c r="BW95" s="98" t="s">
        <v>249</v>
      </c>
      <c r="BX95" s="98" t="s">
        <v>186</v>
      </c>
      <c r="BY95" s="98" t="s">
        <v>177</v>
      </c>
      <c r="BZ95" s="98" t="s">
        <v>168</v>
      </c>
      <c r="CA95" s="98" t="s">
        <v>169</v>
      </c>
      <c r="CB95" s="98" t="s">
        <v>249</v>
      </c>
      <c r="CC95" s="98" t="s">
        <v>197</v>
      </c>
      <c r="CD95" s="180" t="s">
        <v>160</v>
      </c>
    </row>
    <row r="96" spans="1:82" s="180" customFormat="1" ht="14.5" x14ac:dyDescent="0.35">
      <c r="A96" s="180">
        <v>10</v>
      </c>
      <c r="B96" s="343"/>
      <c r="C96" s="181">
        <v>45979.417361111111</v>
      </c>
      <c r="D96" s="240" t="s">
        <v>725</v>
      </c>
      <c r="E96" s="236" t="s">
        <v>817</v>
      </c>
      <c r="F96" s="186" t="s">
        <v>35</v>
      </c>
      <c r="G96" s="187" t="s">
        <v>16</v>
      </c>
      <c r="H96" s="184" t="s">
        <v>26</v>
      </c>
      <c r="I96" s="185">
        <v>1</v>
      </c>
      <c r="J96" s="182" t="s">
        <v>184</v>
      </c>
      <c r="K96" s="182" t="s">
        <v>172</v>
      </c>
      <c r="L96" s="182" t="s">
        <v>203</v>
      </c>
      <c r="M96" s="182" t="s">
        <v>101</v>
      </c>
      <c r="N96" s="182" t="s">
        <v>249</v>
      </c>
      <c r="O96" s="182" t="s">
        <v>249</v>
      </c>
      <c r="P96" s="182" t="s">
        <v>249</v>
      </c>
      <c r="Q96" s="182" t="s">
        <v>249</v>
      </c>
      <c r="R96" s="182" t="s">
        <v>249</v>
      </c>
      <c r="S96" s="182" t="s">
        <v>249</v>
      </c>
      <c r="T96" s="182" t="s">
        <v>249</v>
      </c>
      <c r="U96" s="182" t="s">
        <v>109</v>
      </c>
      <c r="V96" s="182" t="s">
        <v>249</v>
      </c>
      <c r="W96" s="182" t="s">
        <v>249</v>
      </c>
      <c r="X96" s="182" t="s">
        <v>249</v>
      </c>
      <c r="Y96" s="182" t="s">
        <v>113</v>
      </c>
      <c r="Z96" s="182" t="s">
        <v>249</v>
      </c>
      <c r="AA96" s="182" t="s">
        <v>266</v>
      </c>
      <c r="AB96" s="182" t="s">
        <v>182</v>
      </c>
      <c r="AC96" s="182" t="s">
        <v>249</v>
      </c>
      <c r="AD96" s="182" t="s">
        <v>165</v>
      </c>
      <c r="AE96" s="182" t="s">
        <v>118</v>
      </c>
      <c r="AF96" s="182" t="s">
        <v>249</v>
      </c>
      <c r="AG96" s="182" t="s">
        <v>120</v>
      </c>
      <c r="AH96" s="182" t="s">
        <v>249</v>
      </c>
      <c r="AI96" s="182" t="s">
        <v>249</v>
      </c>
      <c r="AJ96" s="182" t="s">
        <v>123</v>
      </c>
      <c r="AK96" s="182" t="s">
        <v>249</v>
      </c>
      <c r="AL96" s="182" t="s">
        <v>249</v>
      </c>
      <c r="AM96" s="182" t="s">
        <v>249</v>
      </c>
      <c r="AN96" s="182" t="s">
        <v>249</v>
      </c>
      <c r="AO96" s="182" t="s">
        <v>249</v>
      </c>
      <c r="AP96" s="182" t="s">
        <v>249</v>
      </c>
      <c r="AQ96" s="182" t="s">
        <v>249</v>
      </c>
      <c r="AR96" s="182" t="s">
        <v>249</v>
      </c>
      <c r="AS96" s="182" t="s">
        <v>249</v>
      </c>
      <c r="AT96" s="182" t="s">
        <v>249</v>
      </c>
      <c r="AU96" s="182" t="s">
        <v>249</v>
      </c>
      <c r="AV96" s="182" t="s">
        <v>132</v>
      </c>
      <c r="AW96" s="182" t="s">
        <v>249</v>
      </c>
      <c r="AX96" s="182" t="s">
        <v>249</v>
      </c>
      <c r="AY96" s="182" t="s">
        <v>134</v>
      </c>
      <c r="AZ96" s="182" t="s">
        <v>249</v>
      </c>
      <c r="BA96" s="182" t="s">
        <v>249</v>
      </c>
      <c r="BB96" s="182" t="s">
        <v>136</v>
      </c>
      <c r="BC96" s="182" t="s">
        <v>249</v>
      </c>
      <c r="BD96" s="182" t="s">
        <v>249</v>
      </c>
      <c r="BE96" s="182" t="s">
        <v>139</v>
      </c>
      <c r="BF96" s="182" t="s">
        <v>249</v>
      </c>
      <c r="BG96" s="182" t="s">
        <v>141</v>
      </c>
      <c r="BH96" s="182" t="s">
        <v>249</v>
      </c>
      <c r="BI96" s="182" t="s">
        <v>249</v>
      </c>
      <c r="BJ96" s="182" t="s">
        <v>249</v>
      </c>
      <c r="BK96" s="182" t="s">
        <v>249</v>
      </c>
      <c r="BL96" s="182" t="s">
        <v>249</v>
      </c>
      <c r="BM96" s="182" t="s">
        <v>249</v>
      </c>
      <c r="BN96" s="182" t="s">
        <v>145</v>
      </c>
      <c r="BO96" s="182" t="s">
        <v>249</v>
      </c>
      <c r="BP96" s="182" t="s">
        <v>249</v>
      </c>
      <c r="BQ96" s="182" t="s">
        <v>174</v>
      </c>
      <c r="BR96" s="182" t="s">
        <v>249</v>
      </c>
      <c r="BS96" s="182" t="s">
        <v>148</v>
      </c>
      <c r="BT96" s="182" t="s">
        <v>249</v>
      </c>
      <c r="BU96" s="182" t="s">
        <v>249</v>
      </c>
      <c r="BV96" s="184"/>
      <c r="BW96" s="184"/>
      <c r="BX96" s="5" t="s">
        <v>166</v>
      </c>
      <c r="BY96" s="5" t="s">
        <v>167</v>
      </c>
      <c r="BZ96" s="5" t="s">
        <v>178</v>
      </c>
      <c r="CA96" s="5" t="s">
        <v>169</v>
      </c>
      <c r="CB96" s="5"/>
      <c r="CC96" s="5" t="s">
        <v>169</v>
      </c>
    </row>
    <row r="97" spans="1:82" ht="14.5" x14ac:dyDescent="0.35">
      <c r="A97">
        <v>9</v>
      </c>
      <c r="B97" s="343"/>
      <c r="C97" s="97">
        <v>45979.413194444445</v>
      </c>
      <c r="D97" s="239" t="s">
        <v>712</v>
      </c>
      <c r="E97" s="236" t="s">
        <v>818</v>
      </c>
      <c r="F97" s="100" t="s">
        <v>36</v>
      </c>
      <c r="G97" s="5" t="s">
        <v>13</v>
      </c>
      <c r="H97" s="5" t="s">
        <v>46</v>
      </c>
      <c r="I97" s="102">
        <v>1</v>
      </c>
      <c r="J97" s="98" t="s">
        <v>180</v>
      </c>
      <c r="K97" s="98" t="s">
        <v>191</v>
      </c>
      <c r="L97" s="98" t="s">
        <v>173</v>
      </c>
      <c r="M97" s="98" t="s">
        <v>249</v>
      </c>
      <c r="N97" s="98" t="s">
        <v>249</v>
      </c>
      <c r="O97" s="98" t="s">
        <v>249</v>
      </c>
      <c r="P97" s="98" t="s">
        <v>249</v>
      </c>
      <c r="Q97" s="98" t="s">
        <v>249</v>
      </c>
      <c r="R97" s="98" t="s">
        <v>249</v>
      </c>
      <c r="S97" s="98" t="s">
        <v>249</v>
      </c>
      <c r="T97" s="98" t="s">
        <v>108</v>
      </c>
      <c r="U97" s="98" t="s">
        <v>109</v>
      </c>
      <c r="V97" s="98" t="s">
        <v>110</v>
      </c>
      <c r="W97" s="98" t="s">
        <v>249</v>
      </c>
      <c r="X97" s="98" t="s">
        <v>249</v>
      </c>
      <c r="Y97" s="98" t="s">
        <v>249</v>
      </c>
      <c r="Z97" s="98" t="s">
        <v>249</v>
      </c>
      <c r="AA97" s="98" t="s">
        <v>249</v>
      </c>
      <c r="AB97" s="98" t="s">
        <v>161</v>
      </c>
      <c r="AC97" s="98" t="s">
        <v>249</v>
      </c>
      <c r="AD97" s="98" t="s">
        <v>185</v>
      </c>
      <c r="AE97" s="98" t="s">
        <v>249</v>
      </c>
      <c r="AF97" s="98" t="s">
        <v>119</v>
      </c>
      <c r="AG97" s="98" t="s">
        <v>120</v>
      </c>
      <c r="AH97" s="98" t="s">
        <v>249</v>
      </c>
      <c r="AI97" s="98" t="s">
        <v>122</v>
      </c>
      <c r="AJ97" s="98" t="s">
        <v>249</v>
      </c>
      <c r="AK97" s="98" t="s">
        <v>249</v>
      </c>
      <c r="AL97" s="98" t="s">
        <v>249</v>
      </c>
      <c r="AM97" s="98" t="s">
        <v>249</v>
      </c>
      <c r="AN97" s="98" t="s">
        <v>249</v>
      </c>
      <c r="AO97" s="98" t="s">
        <v>249</v>
      </c>
      <c r="AP97" s="98" t="s">
        <v>127</v>
      </c>
      <c r="AQ97" s="98" t="s">
        <v>128</v>
      </c>
      <c r="AR97" s="98" t="s">
        <v>129</v>
      </c>
      <c r="AS97" s="98" t="s">
        <v>130</v>
      </c>
      <c r="AT97" s="98" t="s">
        <v>131</v>
      </c>
      <c r="AU97" s="98" t="s">
        <v>113</v>
      </c>
      <c r="AV97" s="98" t="s">
        <v>249</v>
      </c>
      <c r="AW97" s="98" t="s">
        <v>267</v>
      </c>
      <c r="AX97" s="98" t="s">
        <v>249</v>
      </c>
      <c r="AY97" s="98" t="s">
        <v>249</v>
      </c>
      <c r="AZ97" s="98" t="s">
        <v>249</v>
      </c>
      <c r="BA97" s="98" t="s">
        <v>249</v>
      </c>
      <c r="BB97" s="98" t="s">
        <v>249</v>
      </c>
      <c r="BC97" s="98" t="s">
        <v>249</v>
      </c>
      <c r="BD97" s="98" t="s">
        <v>138</v>
      </c>
      <c r="BE97" s="98" t="s">
        <v>249</v>
      </c>
      <c r="BF97" s="98" t="s">
        <v>140</v>
      </c>
      <c r="BG97" s="98" t="s">
        <v>249</v>
      </c>
      <c r="BH97" s="98" t="s">
        <v>249</v>
      </c>
      <c r="BI97" s="98" t="s">
        <v>249</v>
      </c>
      <c r="BJ97" s="98" t="s">
        <v>249</v>
      </c>
      <c r="BK97" s="98" t="s">
        <v>142</v>
      </c>
      <c r="BL97" s="98" t="s">
        <v>143</v>
      </c>
      <c r="BM97" s="98" t="s">
        <v>144</v>
      </c>
      <c r="BN97" s="98" t="s">
        <v>249</v>
      </c>
      <c r="BO97" s="98" t="s">
        <v>249</v>
      </c>
      <c r="BP97" s="98" t="s">
        <v>249</v>
      </c>
      <c r="BQ97" s="98" t="s">
        <v>165</v>
      </c>
      <c r="BR97" s="98" t="s">
        <v>147</v>
      </c>
      <c r="BS97" s="98" t="s">
        <v>249</v>
      </c>
      <c r="BT97" s="98" t="s">
        <v>149</v>
      </c>
      <c r="BU97" s="98" t="s">
        <v>150</v>
      </c>
      <c r="BV97" s="5"/>
      <c r="BW97" s="5"/>
      <c r="BX97" s="5" t="s">
        <v>166</v>
      </c>
      <c r="BY97" s="5" t="s">
        <v>167</v>
      </c>
      <c r="BZ97" s="5" t="s">
        <v>178</v>
      </c>
      <c r="CA97" s="5" t="s">
        <v>170</v>
      </c>
      <c r="CB97" s="5" t="s">
        <v>263</v>
      </c>
      <c r="CC97" s="5" t="s">
        <v>169</v>
      </c>
    </row>
    <row r="98" spans="1:82" s="180" customFormat="1" ht="14.5" x14ac:dyDescent="0.35">
      <c r="A98" s="180">
        <v>8</v>
      </c>
      <c r="B98" s="343"/>
      <c r="C98" s="181">
        <v>45978.561805555553</v>
      </c>
      <c r="D98" s="240" t="s">
        <v>726</v>
      </c>
      <c r="E98" s="236" t="s">
        <v>815</v>
      </c>
      <c r="F98" s="183" t="s">
        <v>45</v>
      </c>
      <c r="G98" s="184" t="s">
        <v>31</v>
      </c>
      <c r="H98" s="184" t="s">
        <v>26</v>
      </c>
      <c r="I98" s="185">
        <v>1</v>
      </c>
      <c r="J98" s="182" t="s">
        <v>184</v>
      </c>
      <c r="K98" s="182" t="s">
        <v>158</v>
      </c>
      <c r="L98" s="182" t="s">
        <v>203</v>
      </c>
      <c r="M98" s="182" t="s">
        <v>249</v>
      </c>
      <c r="N98" s="182" t="s">
        <v>249</v>
      </c>
      <c r="O98" s="182" t="s">
        <v>103</v>
      </c>
      <c r="P98" s="182" t="s">
        <v>249</v>
      </c>
      <c r="Q98" s="182" t="s">
        <v>249</v>
      </c>
      <c r="R98" s="182" t="s">
        <v>249</v>
      </c>
      <c r="S98" s="182" t="s">
        <v>249</v>
      </c>
      <c r="T98" s="182" t="s">
        <v>249</v>
      </c>
      <c r="U98" s="182" t="s">
        <v>109</v>
      </c>
      <c r="V98" s="182" t="s">
        <v>249</v>
      </c>
      <c r="W98" s="182" t="s">
        <v>249</v>
      </c>
      <c r="X98" s="182" t="s">
        <v>249</v>
      </c>
      <c r="Y98" s="182" t="s">
        <v>249</v>
      </c>
      <c r="Z98" s="182" t="s">
        <v>249</v>
      </c>
      <c r="AA98" s="182" t="s">
        <v>249</v>
      </c>
      <c r="AB98" s="182" t="s">
        <v>182</v>
      </c>
      <c r="AC98" s="182" t="s">
        <v>249</v>
      </c>
      <c r="AD98" s="182" t="s">
        <v>185</v>
      </c>
      <c r="AE98" s="182" t="s">
        <v>249</v>
      </c>
      <c r="AF98" s="182" t="s">
        <v>249</v>
      </c>
      <c r="AG98" s="182" t="s">
        <v>249</v>
      </c>
      <c r="AH98" s="182" t="s">
        <v>249</v>
      </c>
      <c r="AI98" s="182" t="s">
        <v>122</v>
      </c>
      <c r="AJ98" s="182" t="s">
        <v>249</v>
      </c>
      <c r="AK98" s="182" t="s">
        <v>249</v>
      </c>
      <c r="AL98" s="182" t="s">
        <v>249</v>
      </c>
      <c r="AM98" s="182" t="s">
        <v>249</v>
      </c>
      <c r="AN98" s="182" t="s">
        <v>249</v>
      </c>
      <c r="AO98" s="182" t="s">
        <v>249</v>
      </c>
      <c r="AP98" s="182" t="s">
        <v>127</v>
      </c>
      <c r="AQ98" s="182" t="s">
        <v>249</v>
      </c>
      <c r="AR98" s="182" t="s">
        <v>249</v>
      </c>
      <c r="AS98" s="182" t="s">
        <v>249</v>
      </c>
      <c r="AT98" s="182" t="s">
        <v>249</v>
      </c>
      <c r="AU98" s="182" t="s">
        <v>249</v>
      </c>
      <c r="AV98" s="182" t="s">
        <v>249</v>
      </c>
      <c r="AW98" s="182" t="s">
        <v>249</v>
      </c>
      <c r="AX98" s="182" t="s">
        <v>249</v>
      </c>
      <c r="AY98" s="182" t="s">
        <v>134</v>
      </c>
      <c r="AZ98" s="182" t="s">
        <v>249</v>
      </c>
      <c r="BA98" s="182" t="s">
        <v>121</v>
      </c>
      <c r="BB98" s="182" t="s">
        <v>136</v>
      </c>
      <c r="BC98" s="182" t="s">
        <v>249</v>
      </c>
      <c r="BD98" s="182" t="s">
        <v>249</v>
      </c>
      <c r="BE98" s="182" t="s">
        <v>139</v>
      </c>
      <c r="BF98" s="182" t="s">
        <v>140</v>
      </c>
      <c r="BG98" s="182" t="s">
        <v>141</v>
      </c>
      <c r="BH98" s="182" t="s">
        <v>249</v>
      </c>
      <c r="BI98" s="182" t="s">
        <v>249</v>
      </c>
      <c r="BJ98" s="182" t="s">
        <v>249</v>
      </c>
      <c r="BK98" s="182" t="s">
        <v>249</v>
      </c>
      <c r="BL98" s="182" t="s">
        <v>249</v>
      </c>
      <c r="BM98" s="182" t="s">
        <v>249</v>
      </c>
      <c r="BN98" s="182" t="s">
        <v>145</v>
      </c>
      <c r="BO98" s="182" t="s">
        <v>249</v>
      </c>
      <c r="BP98" s="182" t="s">
        <v>249</v>
      </c>
      <c r="BQ98" s="182" t="s">
        <v>165</v>
      </c>
      <c r="BR98" s="182" t="s">
        <v>249</v>
      </c>
      <c r="BS98" s="182" t="s">
        <v>249</v>
      </c>
      <c r="BT98" s="182" t="s">
        <v>249</v>
      </c>
      <c r="BU98" s="182" t="s">
        <v>150</v>
      </c>
      <c r="BV98" s="184"/>
      <c r="BW98" s="184"/>
      <c r="BX98" s="5" t="s">
        <v>166</v>
      </c>
      <c r="BY98" s="5" t="s">
        <v>177</v>
      </c>
      <c r="BZ98" s="5" t="s">
        <v>168</v>
      </c>
      <c r="CA98" s="5" t="s">
        <v>170</v>
      </c>
      <c r="CB98" s="5" t="s">
        <v>179</v>
      </c>
      <c r="CC98" s="5" t="s">
        <v>170</v>
      </c>
      <c r="CD98" s="180" t="s">
        <v>160</v>
      </c>
    </row>
    <row r="99" spans="1:82" ht="14.5" x14ac:dyDescent="0.35">
      <c r="A99">
        <v>7</v>
      </c>
      <c r="B99" s="343"/>
      <c r="C99" s="97">
        <v>45978.45416666667</v>
      </c>
      <c r="D99" s="239" t="s">
        <v>727</v>
      </c>
      <c r="E99" s="236" t="s">
        <v>817</v>
      </c>
      <c r="F99" s="10" t="s">
        <v>12</v>
      </c>
      <c r="G99" s="9" t="s">
        <v>16</v>
      </c>
      <c r="H99" s="9" t="s">
        <v>16</v>
      </c>
      <c r="I99" s="11">
        <v>1</v>
      </c>
      <c r="J99" s="98" t="s">
        <v>180</v>
      </c>
      <c r="K99" s="98" t="s">
        <v>158</v>
      </c>
      <c r="L99" s="98" t="s">
        <v>203</v>
      </c>
      <c r="M99" s="98" t="s">
        <v>249</v>
      </c>
      <c r="N99" s="98" t="s">
        <v>249</v>
      </c>
      <c r="O99" s="98" t="s">
        <v>249</v>
      </c>
      <c r="P99" s="98" t="s">
        <v>249</v>
      </c>
      <c r="Q99" s="98" t="s">
        <v>249</v>
      </c>
      <c r="R99" s="98" t="s">
        <v>249</v>
      </c>
      <c r="S99" s="98" t="s">
        <v>249</v>
      </c>
      <c r="T99" s="98" t="s">
        <v>249</v>
      </c>
      <c r="U99" s="98" t="s">
        <v>249</v>
      </c>
      <c r="V99" s="98" t="s">
        <v>249</v>
      </c>
      <c r="W99" s="98" t="s">
        <v>249</v>
      </c>
      <c r="X99" s="98" t="s">
        <v>112</v>
      </c>
      <c r="Y99" s="98" t="s">
        <v>249</v>
      </c>
      <c r="Z99" s="98" t="s">
        <v>249</v>
      </c>
      <c r="AA99" s="98" t="s">
        <v>249</v>
      </c>
      <c r="AB99" s="98" t="s">
        <v>161</v>
      </c>
      <c r="AC99" s="98" t="s">
        <v>249</v>
      </c>
      <c r="AD99" s="98" t="s">
        <v>162</v>
      </c>
      <c r="AE99" s="98" t="s">
        <v>118</v>
      </c>
      <c r="AF99" s="98" t="s">
        <v>249</v>
      </c>
      <c r="AG99" s="98" t="s">
        <v>120</v>
      </c>
      <c r="AH99" s="98" t="s">
        <v>249</v>
      </c>
      <c r="AI99" s="98" t="s">
        <v>122</v>
      </c>
      <c r="AJ99" s="98" t="s">
        <v>249</v>
      </c>
      <c r="AK99" s="98" t="s">
        <v>249</v>
      </c>
      <c r="AL99" s="98" t="s">
        <v>249</v>
      </c>
      <c r="AM99" s="98" t="s">
        <v>249</v>
      </c>
      <c r="AN99" s="98" t="s">
        <v>249</v>
      </c>
      <c r="AO99" s="98" t="s">
        <v>249</v>
      </c>
      <c r="AP99" s="98" t="s">
        <v>127</v>
      </c>
      <c r="AQ99" s="98" t="s">
        <v>249</v>
      </c>
      <c r="AR99" s="98" t="s">
        <v>249</v>
      </c>
      <c r="AS99" s="98" t="s">
        <v>249</v>
      </c>
      <c r="AT99" s="98" t="s">
        <v>249</v>
      </c>
      <c r="AU99" s="98" t="s">
        <v>113</v>
      </c>
      <c r="AV99" s="98" t="s">
        <v>249</v>
      </c>
      <c r="AW99" s="98" t="s">
        <v>268</v>
      </c>
      <c r="AX99" s="98" t="s">
        <v>249</v>
      </c>
      <c r="AY99" s="98" t="s">
        <v>134</v>
      </c>
      <c r="AZ99" s="98" t="s">
        <v>135</v>
      </c>
      <c r="BA99" s="98" t="s">
        <v>249</v>
      </c>
      <c r="BB99" s="98" t="s">
        <v>249</v>
      </c>
      <c r="BC99" s="98" t="s">
        <v>249</v>
      </c>
      <c r="BD99" s="98" t="s">
        <v>249</v>
      </c>
      <c r="BE99" s="98" t="s">
        <v>139</v>
      </c>
      <c r="BF99" s="98" t="s">
        <v>249</v>
      </c>
      <c r="BG99" s="98" t="s">
        <v>141</v>
      </c>
      <c r="BH99" s="98" t="s">
        <v>249</v>
      </c>
      <c r="BI99" s="98" t="s">
        <v>249</v>
      </c>
      <c r="BJ99" s="98" t="s">
        <v>249</v>
      </c>
      <c r="BK99" s="98" t="s">
        <v>249</v>
      </c>
      <c r="BL99" s="98" t="s">
        <v>249</v>
      </c>
      <c r="BM99" s="98" t="s">
        <v>144</v>
      </c>
      <c r="BN99" s="98" t="s">
        <v>249</v>
      </c>
      <c r="BO99" s="98" t="s">
        <v>249</v>
      </c>
      <c r="BP99" s="98" t="s">
        <v>249</v>
      </c>
      <c r="BQ99" s="98" t="s">
        <v>174</v>
      </c>
      <c r="BR99" s="98" t="s">
        <v>147</v>
      </c>
      <c r="BS99" s="98" t="s">
        <v>249</v>
      </c>
      <c r="BT99" s="98" t="s">
        <v>149</v>
      </c>
      <c r="BU99" s="98" t="s">
        <v>249</v>
      </c>
      <c r="BV99" s="5"/>
      <c r="BW99" s="5"/>
      <c r="BX99" s="5" t="s">
        <v>166</v>
      </c>
      <c r="BY99" s="5" t="s">
        <v>167</v>
      </c>
      <c r="BZ99" s="5" t="s">
        <v>168</v>
      </c>
      <c r="CA99" s="5" t="s">
        <v>170</v>
      </c>
      <c r="CB99" s="5"/>
      <c r="CC99" s="5" t="s">
        <v>170</v>
      </c>
      <c r="CD99" s="300" t="s">
        <v>160</v>
      </c>
    </row>
    <row r="100" spans="1:82" ht="14.5" x14ac:dyDescent="0.35">
      <c r="A100">
        <v>6</v>
      </c>
      <c r="B100" s="343"/>
      <c r="C100" s="97">
        <v>45978.429166666669</v>
      </c>
      <c r="D100" s="239" t="s">
        <v>714</v>
      </c>
      <c r="E100" s="236" t="s">
        <v>818</v>
      </c>
      <c r="F100" s="100" t="s">
        <v>36</v>
      </c>
      <c r="G100" s="5" t="s">
        <v>13</v>
      </c>
      <c r="H100" s="5" t="s">
        <v>41</v>
      </c>
      <c r="I100" s="101" t="s">
        <v>27</v>
      </c>
      <c r="J100" s="98" t="s">
        <v>184</v>
      </c>
      <c r="K100" s="98" t="s">
        <v>172</v>
      </c>
      <c r="L100" s="98" t="s">
        <v>181</v>
      </c>
      <c r="M100" s="98" t="s">
        <v>101</v>
      </c>
      <c r="N100" s="98" t="s">
        <v>249</v>
      </c>
      <c r="O100" s="98" t="s">
        <v>249</v>
      </c>
      <c r="P100" s="98" t="s">
        <v>249</v>
      </c>
      <c r="Q100" s="98" t="s">
        <v>249</v>
      </c>
      <c r="R100" s="98" t="s">
        <v>249</v>
      </c>
      <c r="S100" s="98" t="s">
        <v>249</v>
      </c>
      <c r="T100" s="98" t="s">
        <v>108</v>
      </c>
      <c r="U100" s="98" t="s">
        <v>109</v>
      </c>
      <c r="V100" s="98" t="s">
        <v>249</v>
      </c>
      <c r="W100" s="98" t="s">
        <v>249</v>
      </c>
      <c r="X100" s="98" t="s">
        <v>249</v>
      </c>
      <c r="Y100" s="98" t="s">
        <v>249</v>
      </c>
      <c r="Z100" s="98" t="s">
        <v>249</v>
      </c>
      <c r="AA100" s="98" t="s">
        <v>249</v>
      </c>
      <c r="AB100" s="98" t="s">
        <v>200</v>
      </c>
      <c r="AC100" s="98" t="s">
        <v>249</v>
      </c>
      <c r="AD100" s="98" t="s">
        <v>185</v>
      </c>
      <c r="AE100" s="98" t="s">
        <v>249</v>
      </c>
      <c r="AF100" s="98" t="s">
        <v>119</v>
      </c>
      <c r="AG100" s="98" t="s">
        <v>249</v>
      </c>
      <c r="AH100" s="98" t="s">
        <v>249</v>
      </c>
      <c r="AI100" s="98" t="s">
        <v>122</v>
      </c>
      <c r="AJ100" s="98" t="s">
        <v>249</v>
      </c>
      <c r="AK100" s="98" t="s">
        <v>124</v>
      </c>
      <c r="AL100" s="98" t="s">
        <v>249</v>
      </c>
      <c r="AM100" s="98" t="s">
        <v>249</v>
      </c>
      <c r="AN100" s="98" t="s">
        <v>249</v>
      </c>
      <c r="AO100" s="98" t="s">
        <v>249</v>
      </c>
      <c r="AP100" s="98" t="s">
        <v>127</v>
      </c>
      <c r="AQ100" s="98" t="s">
        <v>128</v>
      </c>
      <c r="AR100" s="98" t="s">
        <v>249</v>
      </c>
      <c r="AS100" s="98" t="s">
        <v>130</v>
      </c>
      <c r="AT100" s="98" t="s">
        <v>249</v>
      </c>
      <c r="AU100" s="98" t="s">
        <v>249</v>
      </c>
      <c r="AV100" s="98" t="s">
        <v>249</v>
      </c>
      <c r="AW100" s="98" t="s">
        <v>249</v>
      </c>
      <c r="AX100" s="98" t="s">
        <v>249</v>
      </c>
      <c r="AY100" s="98" t="s">
        <v>249</v>
      </c>
      <c r="AZ100" s="98" t="s">
        <v>249</v>
      </c>
      <c r="BA100" s="98" t="s">
        <v>249</v>
      </c>
      <c r="BB100" s="98" t="s">
        <v>249</v>
      </c>
      <c r="BC100" s="98" t="s">
        <v>249</v>
      </c>
      <c r="BD100" s="98" t="s">
        <v>249</v>
      </c>
      <c r="BE100" s="98" t="s">
        <v>249</v>
      </c>
      <c r="BF100" s="98" t="s">
        <v>249</v>
      </c>
      <c r="BG100" s="98" t="s">
        <v>249</v>
      </c>
      <c r="BH100" s="98" t="s">
        <v>249</v>
      </c>
      <c r="BI100" s="98" t="s">
        <v>132</v>
      </c>
      <c r="BJ100" s="98" t="s">
        <v>249</v>
      </c>
      <c r="BK100" s="98" t="s">
        <v>249</v>
      </c>
      <c r="BL100" s="98" t="s">
        <v>249</v>
      </c>
      <c r="BM100" s="98" t="s">
        <v>249</v>
      </c>
      <c r="BN100" s="98" t="s">
        <v>145</v>
      </c>
      <c r="BO100" s="98" t="s">
        <v>249</v>
      </c>
      <c r="BP100" s="98" t="s">
        <v>249</v>
      </c>
      <c r="BQ100" s="98" t="s">
        <v>174</v>
      </c>
      <c r="BR100" s="98" t="s">
        <v>249</v>
      </c>
      <c r="BS100" s="98" t="s">
        <v>249</v>
      </c>
      <c r="BT100" s="98" t="s">
        <v>149</v>
      </c>
      <c r="BU100" s="98" t="s">
        <v>150</v>
      </c>
      <c r="BV100" s="5"/>
      <c r="BW100" s="5"/>
      <c r="BX100" s="5" t="s">
        <v>176</v>
      </c>
      <c r="BY100" s="5" t="s">
        <v>174</v>
      </c>
      <c r="BZ100" s="5" t="s">
        <v>165</v>
      </c>
      <c r="CA100" s="5" t="s">
        <v>169</v>
      </c>
      <c r="CB100" s="5"/>
      <c r="CC100" s="5" t="s">
        <v>170</v>
      </c>
      <c r="CD100" s="180" t="s">
        <v>160</v>
      </c>
    </row>
    <row r="101" spans="1:82" ht="14.5" x14ac:dyDescent="0.35">
      <c r="A101">
        <v>5</v>
      </c>
      <c r="B101" s="343"/>
      <c r="C101" s="97">
        <v>45978.336111111108</v>
      </c>
      <c r="D101" s="239" t="s">
        <v>728</v>
      </c>
      <c r="E101" s="236" t="s">
        <v>815</v>
      </c>
      <c r="F101" s="100" t="s">
        <v>42</v>
      </c>
      <c r="G101" s="5" t="s">
        <v>13</v>
      </c>
      <c r="H101" s="5" t="s">
        <v>26</v>
      </c>
      <c r="I101" s="101" t="s">
        <v>27</v>
      </c>
      <c r="J101" s="98" t="s">
        <v>171</v>
      </c>
      <c r="K101" s="98" t="s">
        <v>191</v>
      </c>
      <c r="L101" s="98" t="s">
        <v>159</v>
      </c>
      <c r="M101" s="98" t="s">
        <v>249</v>
      </c>
      <c r="N101" s="98" t="s">
        <v>249</v>
      </c>
      <c r="O101" s="98" t="s">
        <v>249</v>
      </c>
      <c r="P101" s="98" t="s">
        <v>249</v>
      </c>
      <c r="Q101" s="98" t="s">
        <v>249</v>
      </c>
      <c r="R101" s="98" t="s">
        <v>249</v>
      </c>
      <c r="S101" s="98" t="s">
        <v>249</v>
      </c>
      <c r="T101" s="98" t="s">
        <v>108</v>
      </c>
      <c r="U101" s="98" t="s">
        <v>109</v>
      </c>
      <c r="V101" s="98" t="s">
        <v>249</v>
      </c>
      <c r="W101" s="98" t="s">
        <v>249</v>
      </c>
      <c r="X101" s="98" t="s">
        <v>249</v>
      </c>
      <c r="Y101" s="98" t="s">
        <v>249</v>
      </c>
      <c r="Z101" s="98" t="s">
        <v>249</v>
      </c>
      <c r="AA101" s="98" t="s">
        <v>249</v>
      </c>
      <c r="AB101" s="98" t="s">
        <v>161</v>
      </c>
      <c r="AC101" s="98" t="s">
        <v>249</v>
      </c>
      <c r="AD101" s="98" t="s">
        <v>185</v>
      </c>
      <c r="AE101" s="98" t="s">
        <v>249</v>
      </c>
      <c r="AF101" s="98" t="s">
        <v>249</v>
      </c>
      <c r="AG101" s="98" t="s">
        <v>249</v>
      </c>
      <c r="AH101" s="98" t="s">
        <v>121</v>
      </c>
      <c r="AI101" s="98" t="s">
        <v>122</v>
      </c>
      <c r="AJ101" s="98" t="s">
        <v>249</v>
      </c>
      <c r="AK101" s="98" t="s">
        <v>124</v>
      </c>
      <c r="AL101" s="98" t="s">
        <v>249</v>
      </c>
      <c r="AM101" s="98" t="s">
        <v>249</v>
      </c>
      <c r="AN101" s="98" t="s">
        <v>249</v>
      </c>
      <c r="AO101" s="98" t="s">
        <v>249</v>
      </c>
      <c r="AP101" s="98" t="s">
        <v>249</v>
      </c>
      <c r="AQ101" s="98" t="s">
        <v>128</v>
      </c>
      <c r="AR101" s="98" t="s">
        <v>129</v>
      </c>
      <c r="AS101" s="98" t="s">
        <v>249</v>
      </c>
      <c r="AT101" s="98" t="s">
        <v>249</v>
      </c>
      <c r="AU101" s="98" t="s">
        <v>249</v>
      </c>
      <c r="AV101" s="98" t="s">
        <v>249</v>
      </c>
      <c r="AW101" s="98" t="s">
        <v>249</v>
      </c>
      <c r="AX101" s="98" t="s">
        <v>249</v>
      </c>
      <c r="AY101" s="98" t="s">
        <v>249</v>
      </c>
      <c r="AZ101" s="98" t="s">
        <v>249</v>
      </c>
      <c r="BA101" s="98" t="s">
        <v>249</v>
      </c>
      <c r="BB101" s="98" t="s">
        <v>136</v>
      </c>
      <c r="BC101" s="98" t="s">
        <v>249</v>
      </c>
      <c r="BD101" s="98" t="s">
        <v>249</v>
      </c>
      <c r="BE101" s="98" t="s">
        <v>139</v>
      </c>
      <c r="BF101" s="98" t="s">
        <v>249</v>
      </c>
      <c r="BG101" s="98" t="s">
        <v>249</v>
      </c>
      <c r="BH101" s="98" t="s">
        <v>249</v>
      </c>
      <c r="BI101" s="98" t="s">
        <v>249</v>
      </c>
      <c r="BJ101" s="98" t="s">
        <v>249</v>
      </c>
      <c r="BK101" s="98" t="s">
        <v>142</v>
      </c>
      <c r="BL101" s="98" t="s">
        <v>143</v>
      </c>
      <c r="BM101" s="98" t="s">
        <v>144</v>
      </c>
      <c r="BN101" s="98" t="s">
        <v>249</v>
      </c>
      <c r="BO101" s="98" t="s">
        <v>249</v>
      </c>
      <c r="BP101" s="98" t="s">
        <v>249</v>
      </c>
      <c r="BQ101" s="98" t="s">
        <v>178</v>
      </c>
      <c r="BR101" s="98" t="s">
        <v>249</v>
      </c>
      <c r="BS101" s="98" t="s">
        <v>249</v>
      </c>
      <c r="BT101" s="98" t="s">
        <v>249</v>
      </c>
      <c r="BU101" s="98" t="s">
        <v>150</v>
      </c>
      <c r="BV101" s="5"/>
      <c r="BW101" s="5"/>
      <c r="BX101" s="5" t="s">
        <v>176</v>
      </c>
      <c r="BY101" s="5" t="s">
        <v>174</v>
      </c>
      <c r="BZ101" s="5" t="s">
        <v>168</v>
      </c>
      <c r="CA101" s="5" t="s">
        <v>170</v>
      </c>
      <c r="CB101" s="5"/>
      <c r="CC101" s="5" t="s">
        <v>170</v>
      </c>
      <c r="CD101" s="300" t="s">
        <v>160</v>
      </c>
    </row>
    <row r="102" spans="1:82" ht="14.5" x14ac:dyDescent="0.35">
      <c r="A102">
        <v>4</v>
      </c>
      <c r="B102" s="343"/>
      <c r="C102" s="97">
        <v>45978.288194444445</v>
      </c>
      <c r="D102" s="239" t="s">
        <v>729</v>
      </c>
      <c r="E102" s="236" t="s">
        <v>817</v>
      </c>
      <c r="F102" s="10" t="s">
        <v>12</v>
      </c>
      <c r="G102" s="5" t="s">
        <v>13</v>
      </c>
      <c r="H102" s="5" t="s">
        <v>26</v>
      </c>
      <c r="I102" s="101" t="s">
        <v>18</v>
      </c>
      <c r="J102" s="98" t="s">
        <v>180</v>
      </c>
      <c r="K102" s="98" t="s">
        <v>158</v>
      </c>
      <c r="L102" s="98" t="s">
        <v>181</v>
      </c>
      <c r="M102" s="98" t="s">
        <v>249</v>
      </c>
      <c r="N102" s="98" t="s">
        <v>249</v>
      </c>
      <c r="O102" s="98" t="s">
        <v>249</v>
      </c>
      <c r="P102" s="98" t="s">
        <v>249</v>
      </c>
      <c r="Q102" s="98" t="s">
        <v>249</v>
      </c>
      <c r="R102" s="98" t="s">
        <v>249</v>
      </c>
      <c r="S102" s="98" t="s">
        <v>249</v>
      </c>
      <c r="T102" s="98" t="s">
        <v>108</v>
      </c>
      <c r="U102" s="98" t="s">
        <v>249</v>
      </c>
      <c r="V102" s="98" t="s">
        <v>110</v>
      </c>
      <c r="W102" s="98" t="s">
        <v>249</v>
      </c>
      <c r="X102" s="98" t="s">
        <v>249</v>
      </c>
      <c r="Y102" s="98" t="s">
        <v>249</v>
      </c>
      <c r="Z102" s="98" t="s">
        <v>249</v>
      </c>
      <c r="AA102" s="98" t="s">
        <v>249</v>
      </c>
      <c r="AB102" s="98" t="s">
        <v>161</v>
      </c>
      <c r="AC102" s="98" t="s">
        <v>249</v>
      </c>
      <c r="AD102" s="98" t="s">
        <v>165</v>
      </c>
      <c r="AE102" s="98" t="s">
        <v>249</v>
      </c>
      <c r="AF102" s="98" t="s">
        <v>249</v>
      </c>
      <c r="AG102" s="98" t="s">
        <v>120</v>
      </c>
      <c r="AH102" s="98" t="s">
        <v>249</v>
      </c>
      <c r="AI102" s="98" t="s">
        <v>122</v>
      </c>
      <c r="AJ102" s="98" t="s">
        <v>249</v>
      </c>
      <c r="AK102" s="98" t="s">
        <v>124</v>
      </c>
      <c r="AL102" s="98" t="s">
        <v>249</v>
      </c>
      <c r="AM102" s="98" t="s">
        <v>249</v>
      </c>
      <c r="AN102" s="98" t="s">
        <v>249</v>
      </c>
      <c r="AO102" s="98" t="s">
        <v>249</v>
      </c>
      <c r="AP102" s="98" t="s">
        <v>127</v>
      </c>
      <c r="AQ102" s="98" t="s">
        <v>128</v>
      </c>
      <c r="AR102" s="98" t="s">
        <v>129</v>
      </c>
      <c r="AS102" s="98" t="s">
        <v>130</v>
      </c>
      <c r="AT102" s="98" t="s">
        <v>131</v>
      </c>
      <c r="AU102" s="98" t="s">
        <v>249</v>
      </c>
      <c r="AV102" s="98" t="s">
        <v>249</v>
      </c>
      <c r="AW102" s="98" t="s">
        <v>249</v>
      </c>
      <c r="AX102" s="98" t="s">
        <v>249</v>
      </c>
      <c r="AY102" s="98" t="s">
        <v>249</v>
      </c>
      <c r="AZ102" s="98" t="s">
        <v>249</v>
      </c>
      <c r="BA102" s="98" t="s">
        <v>249</v>
      </c>
      <c r="BB102" s="98" t="s">
        <v>136</v>
      </c>
      <c r="BC102" s="98" t="s">
        <v>249</v>
      </c>
      <c r="BD102" s="98" t="s">
        <v>138</v>
      </c>
      <c r="BE102" s="98" t="s">
        <v>139</v>
      </c>
      <c r="BF102" s="98" t="s">
        <v>249</v>
      </c>
      <c r="BG102" s="98" t="s">
        <v>249</v>
      </c>
      <c r="BH102" s="98" t="s">
        <v>249</v>
      </c>
      <c r="BI102" s="98" t="s">
        <v>249</v>
      </c>
      <c r="BJ102" s="98" t="s">
        <v>249</v>
      </c>
      <c r="BK102" s="98" t="s">
        <v>142</v>
      </c>
      <c r="BL102" s="98" t="s">
        <v>143</v>
      </c>
      <c r="BM102" s="98" t="s">
        <v>144</v>
      </c>
      <c r="BN102" s="98" t="s">
        <v>249</v>
      </c>
      <c r="BO102" s="98" t="s">
        <v>249</v>
      </c>
      <c r="BP102" s="98" t="s">
        <v>249</v>
      </c>
      <c r="BQ102" s="98" t="s">
        <v>165</v>
      </c>
      <c r="BR102" s="98" t="s">
        <v>147</v>
      </c>
      <c r="BS102" s="98" t="s">
        <v>249</v>
      </c>
      <c r="BT102" s="98" t="s">
        <v>249</v>
      </c>
      <c r="BU102" s="98" t="s">
        <v>150</v>
      </c>
      <c r="BV102" s="5"/>
      <c r="BW102" s="5"/>
      <c r="BX102" s="5" t="s">
        <v>166</v>
      </c>
      <c r="BY102" s="5" t="s">
        <v>177</v>
      </c>
      <c r="BZ102" s="5" t="s">
        <v>264</v>
      </c>
      <c r="CA102" s="5" t="s">
        <v>170</v>
      </c>
      <c r="CB102" s="5"/>
      <c r="CC102" s="5" t="s">
        <v>169</v>
      </c>
    </row>
    <row r="103" spans="1:82" ht="14.5" x14ac:dyDescent="0.35">
      <c r="A103">
        <v>3</v>
      </c>
      <c r="B103" s="343"/>
      <c r="C103" s="97">
        <v>45976.563888888886</v>
      </c>
      <c r="D103" s="239" t="s">
        <v>730</v>
      </c>
      <c r="E103" s="236" t="s">
        <v>818</v>
      </c>
      <c r="F103" s="100" t="s">
        <v>36</v>
      </c>
      <c r="G103" s="5" t="s">
        <v>31</v>
      </c>
      <c r="H103" s="5" t="s">
        <v>26</v>
      </c>
      <c r="I103" s="102">
        <v>1</v>
      </c>
      <c r="J103" s="98" t="s">
        <v>171</v>
      </c>
      <c r="K103" s="98" t="s">
        <v>191</v>
      </c>
      <c r="L103" s="98" t="s">
        <v>159</v>
      </c>
      <c r="M103" s="98" t="s">
        <v>249</v>
      </c>
      <c r="N103" s="98" t="s">
        <v>249</v>
      </c>
      <c r="O103" s="98" t="s">
        <v>249</v>
      </c>
      <c r="P103" s="98" t="s">
        <v>249</v>
      </c>
      <c r="Q103" s="98" t="s">
        <v>249</v>
      </c>
      <c r="R103" s="98" t="s">
        <v>249</v>
      </c>
      <c r="S103" s="98" t="s">
        <v>249</v>
      </c>
      <c r="T103" s="98" t="s">
        <v>108</v>
      </c>
      <c r="U103" s="98" t="s">
        <v>109</v>
      </c>
      <c r="V103" s="98" t="s">
        <v>110</v>
      </c>
      <c r="W103" s="98" t="s">
        <v>249</v>
      </c>
      <c r="X103" s="98" t="s">
        <v>249</v>
      </c>
      <c r="Y103" s="98" t="s">
        <v>249</v>
      </c>
      <c r="Z103" s="98" t="s">
        <v>249</v>
      </c>
      <c r="AA103" s="98" t="s">
        <v>249</v>
      </c>
      <c r="AB103" s="98" t="s">
        <v>161</v>
      </c>
      <c r="AC103" s="98" t="s">
        <v>249</v>
      </c>
      <c r="AD103" s="98" t="s">
        <v>162</v>
      </c>
      <c r="AE103" s="98" t="s">
        <v>118</v>
      </c>
      <c r="AF103" s="98" t="s">
        <v>249</v>
      </c>
      <c r="AG103" s="98" t="s">
        <v>249</v>
      </c>
      <c r="AH103" s="98" t="s">
        <v>249</v>
      </c>
      <c r="AI103" s="98" t="s">
        <v>122</v>
      </c>
      <c r="AJ103" s="98" t="s">
        <v>249</v>
      </c>
      <c r="AK103" s="98" t="s">
        <v>249</v>
      </c>
      <c r="AL103" s="98" t="s">
        <v>249</v>
      </c>
      <c r="AM103" s="98" t="s">
        <v>126</v>
      </c>
      <c r="AN103" s="98" t="s">
        <v>249</v>
      </c>
      <c r="AO103" s="98" t="s">
        <v>249</v>
      </c>
      <c r="AP103" s="98" t="s">
        <v>127</v>
      </c>
      <c r="AQ103" s="98" t="s">
        <v>128</v>
      </c>
      <c r="AR103" s="98" t="s">
        <v>129</v>
      </c>
      <c r="AS103" s="98" t="s">
        <v>130</v>
      </c>
      <c r="AT103" s="98" t="s">
        <v>131</v>
      </c>
      <c r="AU103" s="98" t="s">
        <v>113</v>
      </c>
      <c r="AV103" s="98" t="s">
        <v>249</v>
      </c>
      <c r="AW103" s="98" t="s">
        <v>269</v>
      </c>
      <c r="AX103" s="98" t="s">
        <v>249</v>
      </c>
      <c r="AY103" s="98" t="s">
        <v>134</v>
      </c>
      <c r="AZ103" s="98" t="s">
        <v>135</v>
      </c>
      <c r="BA103" s="98" t="s">
        <v>121</v>
      </c>
      <c r="BB103" s="98" t="s">
        <v>136</v>
      </c>
      <c r="BC103" s="98" t="s">
        <v>137</v>
      </c>
      <c r="BD103" s="98" t="s">
        <v>138</v>
      </c>
      <c r="BE103" s="98" t="s">
        <v>139</v>
      </c>
      <c r="BF103" s="98" t="s">
        <v>140</v>
      </c>
      <c r="BG103" s="98" t="s">
        <v>141</v>
      </c>
      <c r="BH103" s="98" t="s">
        <v>113</v>
      </c>
      <c r="BI103" s="98" t="s">
        <v>249</v>
      </c>
      <c r="BJ103" s="98" t="s">
        <v>270</v>
      </c>
      <c r="BK103" s="98" t="s">
        <v>142</v>
      </c>
      <c r="BL103" s="98" t="s">
        <v>143</v>
      </c>
      <c r="BM103" s="98" t="s">
        <v>144</v>
      </c>
      <c r="BN103" s="98" t="s">
        <v>249</v>
      </c>
      <c r="BO103" s="98" t="s">
        <v>113</v>
      </c>
      <c r="BP103" s="98" t="s">
        <v>271</v>
      </c>
      <c r="BQ103" s="98" t="s">
        <v>178</v>
      </c>
      <c r="BR103" s="98" t="s">
        <v>147</v>
      </c>
      <c r="BS103" s="98" t="s">
        <v>249</v>
      </c>
      <c r="BT103" s="98" t="s">
        <v>149</v>
      </c>
      <c r="BU103" s="98" t="s">
        <v>150</v>
      </c>
      <c r="BV103" s="5"/>
      <c r="BW103" s="5"/>
      <c r="BX103" s="5" t="s">
        <v>166</v>
      </c>
      <c r="BY103" s="5" t="s">
        <v>167</v>
      </c>
      <c r="BZ103" s="5" t="s">
        <v>178</v>
      </c>
      <c r="CA103" s="5" t="s">
        <v>170</v>
      </c>
      <c r="CB103" s="5"/>
      <c r="CC103" s="5" t="s">
        <v>170</v>
      </c>
      <c r="CD103" s="300" t="s">
        <v>160</v>
      </c>
    </row>
    <row r="104" spans="1:82" ht="14.5" x14ac:dyDescent="0.35">
      <c r="A104">
        <v>2</v>
      </c>
      <c r="B104" s="343"/>
      <c r="C104" s="97">
        <v>45974.671527777777</v>
      </c>
      <c r="D104" s="239" t="s">
        <v>731</v>
      </c>
      <c r="E104" s="236" t="s">
        <v>815</v>
      </c>
      <c r="F104" s="100" t="s">
        <v>42</v>
      </c>
      <c r="G104" s="5" t="s">
        <v>13</v>
      </c>
      <c r="H104" s="5" t="s">
        <v>26</v>
      </c>
      <c r="I104" s="11">
        <v>1</v>
      </c>
      <c r="J104" s="98" t="s">
        <v>198</v>
      </c>
      <c r="K104" s="98" t="s">
        <v>172</v>
      </c>
      <c r="L104" s="98" t="s">
        <v>173</v>
      </c>
      <c r="M104" s="98" t="s">
        <v>249</v>
      </c>
      <c r="N104" s="98" t="s">
        <v>249</v>
      </c>
      <c r="O104" s="98" t="s">
        <v>249</v>
      </c>
      <c r="P104" s="98" t="s">
        <v>104</v>
      </c>
      <c r="Q104" s="98" t="s">
        <v>249</v>
      </c>
      <c r="R104" s="98" t="s">
        <v>249</v>
      </c>
      <c r="S104" s="98" t="s">
        <v>249</v>
      </c>
      <c r="T104" s="98" t="s">
        <v>249</v>
      </c>
      <c r="U104" s="98" t="s">
        <v>109</v>
      </c>
      <c r="V104" s="98" t="s">
        <v>249</v>
      </c>
      <c r="W104" s="98" t="s">
        <v>249</v>
      </c>
      <c r="X104" s="98" t="s">
        <v>249</v>
      </c>
      <c r="Y104" s="98" t="s">
        <v>249</v>
      </c>
      <c r="Z104" s="98" t="s">
        <v>249</v>
      </c>
      <c r="AA104" s="98" t="s">
        <v>249</v>
      </c>
      <c r="AB104" s="98" t="s">
        <v>200</v>
      </c>
      <c r="AC104" s="98" t="s">
        <v>249</v>
      </c>
      <c r="AD104" s="98" t="s">
        <v>185</v>
      </c>
      <c r="AE104" s="98" t="s">
        <v>249</v>
      </c>
      <c r="AF104" s="98" t="s">
        <v>249</v>
      </c>
      <c r="AG104" s="98" t="s">
        <v>249</v>
      </c>
      <c r="AH104" s="98" t="s">
        <v>249</v>
      </c>
      <c r="AI104" s="98" t="s">
        <v>122</v>
      </c>
      <c r="AJ104" s="98" t="s">
        <v>249</v>
      </c>
      <c r="AK104" s="98" t="s">
        <v>124</v>
      </c>
      <c r="AL104" s="98" t="s">
        <v>249</v>
      </c>
      <c r="AM104" s="98" t="s">
        <v>249</v>
      </c>
      <c r="AN104" s="98" t="s">
        <v>249</v>
      </c>
      <c r="AO104" s="98" t="s">
        <v>249</v>
      </c>
      <c r="AP104" s="98" t="s">
        <v>249</v>
      </c>
      <c r="AQ104" s="98" t="s">
        <v>249</v>
      </c>
      <c r="AR104" s="98" t="s">
        <v>249</v>
      </c>
      <c r="AS104" s="98" t="s">
        <v>249</v>
      </c>
      <c r="AT104" s="98" t="s">
        <v>249</v>
      </c>
      <c r="AU104" s="98" t="s">
        <v>249</v>
      </c>
      <c r="AV104" s="98" t="s">
        <v>132</v>
      </c>
      <c r="AW104" s="98" t="s">
        <v>249</v>
      </c>
      <c r="AX104" s="98" t="s">
        <v>249</v>
      </c>
      <c r="AY104" s="98" t="s">
        <v>134</v>
      </c>
      <c r="AZ104" s="98" t="s">
        <v>249</v>
      </c>
      <c r="BA104" s="98" t="s">
        <v>121</v>
      </c>
      <c r="BB104" s="98" t="s">
        <v>249</v>
      </c>
      <c r="BC104" s="98" t="s">
        <v>249</v>
      </c>
      <c r="BD104" s="98" t="s">
        <v>249</v>
      </c>
      <c r="BE104" s="98" t="s">
        <v>249</v>
      </c>
      <c r="BF104" s="98" t="s">
        <v>249</v>
      </c>
      <c r="BG104" s="98" t="s">
        <v>249</v>
      </c>
      <c r="BH104" s="98" t="s">
        <v>249</v>
      </c>
      <c r="BI104" s="98" t="s">
        <v>249</v>
      </c>
      <c r="BJ104" s="98" t="s">
        <v>249</v>
      </c>
      <c r="BK104" s="98" t="s">
        <v>249</v>
      </c>
      <c r="BL104" s="98" t="s">
        <v>249</v>
      </c>
      <c r="BM104" s="98" t="s">
        <v>249</v>
      </c>
      <c r="BN104" s="98" t="s">
        <v>145</v>
      </c>
      <c r="BO104" s="98" t="s">
        <v>249</v>
      </c>
      <c r="BP104" s="98" t="s">
        <v>249</v>
      </c>
      <c r="BQ104" s="98" t="s">
        <v>174</v>
      </c>
      <c r="BR104" s="98" t="s">
        <v>249</v>
      </c>
      <c r="BS104" s="98" t="s">
        <v>148</v>
      </c>
      <c r="BT104" s="98" t="s">
        <v>249</v>
      </c>
      <c r="BU104" s="98" t="s">
        <v>249</v>
      </c>
      <c r="BV104" s="5"/>
      <c r="BW104" s="5"/>
      <c r="BX104" s="5" t="s">
        <v>166</v>
      </c>
      <c r="BY104" s="5" t="s">
        <v>177</v>
      </c>
      <c r="BZ104" s="5" t="s">
        <v>168</v>
      </c>
      <c r="CA104" s="5" t="s">
        <v>169</v>
      </c>
      <c r="CB104" s="5"/>
      <c r="CC104" s="5" t="s">
        <v>169</v>
      </c>
    </row>
    <row r="105" spans="1:82" ht="14.5" x14ac:dyDescent="0.35">
      <c r="A105">
        <v>1</v>
      </c>
      <c r="B105" s="343"/>
      <c r="C105" s="97">
        <v>45973.463888888888</v>
      </c>
      <c r="D105" s="239" t="s">
        <v>732</v>
      </c>
      <c r="E105" s="100" t="s">
        <v>817</v>
      </c>
      <c r="F105" s="100" t="s">
        <v>12</v>
      </c>
      <c r="G105" s="5" t="s">
        <v>13</v>
      </c>
      <c r="H105" s="5" t="s">
        <v>21</v>
      </c>
      <c r="I105" s="101" t="s">
        <v>22</v>
      </c>
      <c r="J105" s="98" t="s">
        <v>184</v>
      </c>
      <c r="K105" s="98" t="s">
        <v>172</v>
      </c>
      <c r="L105" s="98" t="s">
        <v>173</v>
      </c>
      <c r="M105" s="98" t="s">
        <v>249</v>
      </c>
      <c r="N105" s="98" t="s">
        <v>249</v>
      </c>
      <c r="O105" s="98" t="s">
        <v>249</v>
      </c>
      <c r="P105" s="98" t="s">
        <v>249</v>
      </c>
      <c r="Q105" s="98" t="s">
        <v>249</v>
      </c>
      <c r="R105" s="98" t="s">
        <v>249</v>
      </c>
      <c r="S105" s="98" t="s">
        <v>249</v>
      </c>
      <c r="T105" s="98" t="s">
        <v>249</v>
      </c>
      <c r="U105" s="98" t="s">
        <v>109</v>
      </c>
      <c r="V105" s="98" t="s">
        <v>249</v>
      </c>
      <c r="W105" s="98" t="s">
        <v>249</v>
      </c>
      <c r="X105" s="98" t="s">
        <v>249</v>
      </c>
      <c r="Y105" s="98" t="s">
        <v>249</v>
      </c>
      <c r="Z105" s="98" t="s">
        <v>249</v>
      </c>
      <c r="AA105" s="98" t="s">
        <v>249</v>
      </c>
      <c r="AB105" s="98" t="s">
        <v>182</v>
      </c>
      <c r="AC105" s="98" t="s">
        <v>249</v>
      </c>
      <c r="AD105" s="98" t="s">
        <v>185</v>
      </c>
      <c r="AE105" s="98" t="s">
        <v>118</v>
      </c>
      <c r="AF105" s="98" t="s">
        <v>249</v>
      </c>
      <c r="AG105" s="98" t="s">
        <v>249</v>
      </c>
      <c r="AH105" s="98" t="s">
        <v>121</v>
      </c>
      <c r="AI105" s="98" t="s">
        <v>249</v>
      </c>
      <c r="AJ105" s="98" t="s">
        <v>249</v>
      </c>
      <c r="AK105" s="98" t="s">
        <v>124</v>
      </c>
      <c r="AL105" s="98" t="s">
        <v>249</v>
      </c>
      <c r="AM105" s="98" t="s">
        <v>249</v>
      </c>
      <c r="AN105" s="98" t="s">
        <v>249</v>
      </c>
      <c r="AO105" s="98" t="s">
        <v>249</v>
      </c>
      <c r="AP105" s="98" t="s">
        <v>127</v>
      </c>
      <c r="AQ105" s="98" t="s">
        <v>249</v>
      </c>
      <c r="AR105" s="98" t="s">
        <v>249</v>
      </c>
      <c r="AS105" s="98" t="s">
        <v>249</v>
      </c>
      <c r="AT105" s="98" t="s">
        <v>249</v>
      </c>
      <c r="AU105" s="98" t="s">
        <v>249</v>
      </c>
      <c r="AV105" s="98" t="s">
        <v>249</v>
      </c>
      <c r="AW105" s="98" t="s">
        <v>249</v>
      </c>
      <c r="AX105" s="98" t="s">
        <v>249</v>
      </c>
      <c r="AY105" s="98" t="s">
        <v>134</v>
      </c>
      <c r="AZ105" s="98" t="s">
        <v>249</v>
      </c>
      <c r="BA105" s="98" t="s">
        <v>249</v>
      </c>
      <c r="BB105" s="98" t="s">
        <v>249</v>
      </c>
      <c r="BC105" s="98" t="s">
        <v>249</v>
      </c>
      <c r="BD105" s="98" t="s">
        <v>249</v>
      </c>
      <c r="BE105" s="98" t="s">
        <v>249</v>
      </c>
      <c r="BF105" s="98" t="s">
        <v>140</v>
      </c>
      <c r="BG105" s="98" t="s">
        <v>249</v>
      </c>
      <c r="BH105" s="98" t="s">
        <v>249</v>
      </c>
      <c r="BI105" s="98" t="s">
        <v>249</v>
      </c>
      <c r="BJ105" s="98" t="s">
        <v>249</v>
      </c>
      <c r="BK105" s="98" t="s">
        <v>249</v>
      </c>
      <c r="BL105" s="98" t="s">
        <v>249</v>
      </c>
      <c r="BM105" s="98" t="s">
        <v>249</v>
      </c>
      <c r="BN105" s="98" t="s">
        <v>145</v>
      </c>
      <c r="BO105" s="98" t="s">
        <v>249</v>
      </c>
      <c r="BP105" s="98" t="s">
        <v>249</v>
      </c>
      <c r="BQ105" s="98" t="s">
        <v>174</v>
      </c>
      <c r="BR105" s="98" t="s">
        <v>249</v>
      </c>
      <c r="BS105" s="98" t="s">
        <v>148</v>
      </c>
      <c r="BT105" s="98" t="s">
        <v>249</v>
      </c>
      <c r="BU105" s="98" t="s">
        <v>249</v>
      </c>
      <c r="BV105" s="5"/>
      <c r="BW105" s="5"/>
      <c r="BX105" s="5" t="s">
        <v>186</v>
      </c>
      <c r="BY105" s="5" t="s">
        <v>177</v>
      </c>
      <c r="BZ105" s="5" t="s">
        <v>168</v>
      </c>
      <c r="CA105" s="5" t="s">
        <v>169</v>
      </c>
      <c r="CB105" s="5"/>
      <c r="CC105" s="5" t="s">
        <v>197</v>
      </c>
      <c r="CD105" s="300" t="s">
        <v>160</v>
      </c>
    </row>
  </sheetData>
  <autoFilter ref="C2:CC105" xr:uid="{733FEF31-68D5-4EA0-ABFD-1557036C2791}"/>
  <mergeCells count="18">
    <mergeCell ref="B64:B80"/>
    <mergeCell ref="B81:B87"/>
    <mergeCell ref="B88:B105"/>
    <mergeCell ref="M1:AA1"/>
    <mergeCell ref="AB1:AC1"/>
    <mergeCell ref="B50:B63"/>
    <mergeCell ref="B40:B49"/>
    <mergeCell ref="B36:B39"/>
    <mergeCell ref="B31:B32"/>
    <mergeCell ref="B33:B35"/>
    <mergeCell ref="B17:B30"/>
    <mergeCell ref="B6:B16"/>
    <mergeCell ref="B3:B5"/>
    <mergeCell ref="AE1:AO1"/>
    <mergeCell ref="AP1:AW1"/>
    <mergeCell ref="AX1:BJ1"/>
    <mergeCell ref="BK1:BP1"/>
    <mergeCell ref="BR1:BW1"/>
  </mergeCells>
  <conditionalFormatting sqref="D4">
    <cfRule type="duplicateValues" dxfId="23" priority="5"/>
  </conditionalFormatting>
  <conditionalFormatting sqref="D5">
    <cfRule type="duplicateValues" dxfId="22" priority="6"/>
  </conditionalFormatting>
  <conditionalFormatting sqref="D6">
    <cfRule type="duplicateValues" dxfId="21" priority="10"/>
  </conditionalFormatting>
  <conditionalFormatting sqref="D7">
    <cfRule type="duplicateValues" dxfId="20" priority="11"/>
  </conditionalFormatting>
  <conditionalFormatting sqref="D9">
    <cfRule type="duplicateValues" dxfId="19" priority="12"/>
  </conditionalFormatting>
  <conditionalFormatting sqref="D10">
    <cfRule type="duplicateValues" dxfId="18" priority="9"/>
  </conditionalFormatting>
  <conditionalFormatting sqref="D12">
    <cfRule type="duplicateValues" dxfId="17" priority="13"/>
  </conditionalFormatting>
  <conditionalFormatting sqref="D13">
    <cfRule type="duplicateValues" dxfId="16" priority="8"/>
  </conditionalFormatting>
  <conditionalFormatting sqref="D16">
    <cfRule type="duplicateValues" dxfId="15" priority="7"/>
  </conditionalFormatting>
  <conditionalFormatting sqref="D17">
    <cfRule type="duplicateValues" dxfId="14" priority="24"/>
  </conditionalFormatting>
  <conditionalFormatting sqref="D18">
    <cfRule type="duplicateValues" dxfId="13" priority="23"/>
  </conditionalFormatting>
  <conditionalFormatting sqref="D19">
    <cfRule type="duplicateValues" dxfId="12" priority="22"/>
  </conditionalFormatting>
  <conditionalFormatting sqref="D20">
    <cfRule type="duplicateValues" dxfId="11" priority="21"/>
  </conditionalFormatting>
  <conditionalFormatting sqref="D21">
    <cfRule type="duplicateValues" dxfId="10" priority="20"/>
  </conditionalFormatting>
  <conditionalFormatting sqref="D22">
    <cfRule type="duplicateValues" dxfId="9" priority="19"/>
  </conditionalFormatting>
  <conditionalFormatting sqref="D27">
    <cfRule type="duplicateValues" dxfId="8" priority="17"/>
  </conditionalFormatting>
  <conditionalFormatting sqref="D28">
    <cfRule type="duplicateValues" dxfId="7" priority="16"/>
  </conditionalFormatting>
  <conditionalFormatting sqref="D29">
    <cfRule type="duplicateValues" dxfId="6" priority="15"/>
  </conditionalFormatting>
  <conditionalFormatting sqref="D30">
    <cfRule type="duplicateValues" dxfId="5" priority="14"/>
  </conditionalFormatting>
  <conditionalFormatting sqref="D1:D1048576">
    <cfRule type="duplicateValues" dxfId="4" priority="4"/>
  </conditionalFormatting>
  <conditionalFormatting sqref="D4">
    <cfRule type="duplicateValues" dxfId="2" priority="3"/>
  </conditionalFormatting>
  <conditionalFormatting sqref="D4">
    <cfRule type="duplicateValues" dxfId="1" priority="2"/>
  </conditionalFormatting>
  <conditionalFormatting sqref="D5">
    <cfRule type="duplicateValues" dxfId="0" priority="1"/>
  </conditionalFormatting>
  <hyperlinks>
    <hyperlink ref="E51" r:id="rId1" xr:uid="{B3663582-9309-46B9-9D1C-AAF648C0093D}"/>
    <hyperlink ref="E49" r:id="rId2" xr:uid="{227520C5-F881-44E7-92BA-0768F9B75086}"/>
    <hyperlink ref="E48" r:id="rId3" xr:uid="{96FDBD83-5AB3-4044-B395-DB375727D043}"/>
    <hyperlink ref="E47" r:id="rId4" xr:uid="{5287B932-EEB2-4437-A3AF-AB3BF95F0274}"/>
    <hyperlink ref="E46" r:id="rId5" xr:uid="{810E7E45-AC28-4900-8735-E348D03FFBB6}"/>
    <hyperlink ref="E42" r:id="rId6" xr:uid="{A3AD6ADC-95A5-4EDC-B364-6176F37FD107}"/>
    <hyperlink ref="E13" r:id="rId7" xr:uid="{A43A8BCF-2B9B-4AC2-A8FF-5D4A9CA009E2}"/>
    <hyperlink ref="E36" r:id="rId8" xr:uid="{C330B412-ECB1-4868-8364-11D205FAAF81}"/>
    <hyperlink ref="E40" r:id="rId9" xr:uid="{D9E4EB5E-9203-4698-A15B-B8C807D15FC3}"/>
    <hyperlink ref="E41" r:id="rId10" xr:uid="{2E817B97-E685-465B-A075-6B7E84B7D4D0}"/>
    <hyperlink ref="E52" r:id="rId11" xr:uid="{31F02DA7-D3E1-40E9-9EFB-BA99D93D30C5}"/>
    <hyperlink ref="E53" r:id="rId12" xr:uid="{E108EA5F-7588-4E2F-94CE-F8FA4B2FABB3}"/>
    <hyperlink ref="E54" r:id="rId13" xr:uid="{B743FEEE-54F2-435F-AEBB-BB3AD6F33185}"/>
    <hyperlink ref="E55" r:id="rId14" xr:uid="{926FCC25-F4C9-4EAF-A636-C23FF9899AD3}"/>
    <hyperlink ref="E58" r:id="rId15" xr:uid="{47FFF6DF-D07D-4F9C-ACB9-4D9093096520}"/>
    <hyperlink ref="E61" r:id="rId16" xr:uid="{89E31C19-1D5C-4F9B-9FF0-ACC59C2E625D}"/>
    <hyperlink ref="E56" r:id="rId17" xr:uid="{3DC488F8-1858-4BF0-AB24-6E054755854C}"/>
    <hyperlink ref="E59" r:id="rId18" xr:uid="{BB63D9EA-DBD1-452B-9B9F-3D0937BF9DED}"/>
    <hyperlink ref="E62" r:id="rId19" display="name12@email.com" xr:uid="{F37B7AFF-AEF9-46D7-850E-6774FDB91927}"/>
    <hyperlink ref="E57" r:id="rId20" xr:uid="{2824DEA6-3C2D-4379-9430-F09887CCF4AD}"/>
    <hyperlink ref="E60" r:id="rId21" xr:uid="{08AF7622-9FA0-4DCD-B566-23EC1AD10CD2}"/>
    <hyperlink ref="E63" r:id="rId22" xr:uid="{B88D6F8E-2A48-447D-AE6D-F14A520064DD}"/>
    <hyperlink ref="E64" r:id="rId23" xr:uid="{10BA9A60-1CB6-42F1-BB24-BB2E28089B97}"/>
    <hyperlink ref="E65" r:id="rId24" xr:uid="{CD7D6DEF-4DCE-4C66-8E89-C65DAF73DB51}"/>
    <hyperlink ref="E66" r:id="rId25" xr:uid="{E3CCD5B8-49B0-46EF-BB3F-FC7737580AAC}"/>
    <hyperlink ref="E67" r:id="rId26" xr:uid="{C7B70893-F895-4B83-9E7C-F766A5957107}"/>
    <hyperlink ref="E68" r:id="rId27" xr:uid="{E760A644-7905-4868-93A1-A308FAF2493A}"/>
    <hyperlink ref="E71" r:id="rId28" xr:uid="{B584E373-480F-4971-BE27-2003AEEC9C5D}"/>
    <hyperlink ref="E74" r:id="rId29" xr:uid="{9D8702FE-80BE-4F77-A324-900B006479A9}"/>
    <hyperlink ref="E77" r:id="rId30" xr:uid="{EA8B80A8-783C-4797-9CB9-24A317E7BED5}"/>
    <hyperlink ref="E69" r:id="rId31" xr:uid="{1143DC67-4EF9-4944-8C8D-A57E965CE6E6}"/>
    <hyperlink ref="E72" r:id="rId32" xr:uid="{80768D42-D5CB-4439-A3DC-CF087E0D7E13}"/>
    <hyperlink ref="E75" r:id="rId33" xr:uid="{B3219BBE-E52F-41EC-9356-5A34197FE9D3}"/>
    <hyperlink ref="E78" r:id="rId34" xr:uid="{56E3E885-874C-4990-896A-97A288A28F98}"/>
    <hyperlink ref="E70" r:id="rId35" xr:uid="{31C3D978-2ABA-48B5-BB2F-2839720153A4}"/>
    <hyperlink ref="E73" r:id="rId36" xr:uid="{EDF7FBD6-741E-40E9-91B3-5FD641D3BEA5}"/>
    <hyperlink ref="E76" r:id="rId37" xr:uid="{E8CBBE14-F994-4B32-AB8D-74DE3EBD4CBD}"/>
    <hyperlink ref="E79" r:id="rId38" xr:uid="{A13C8FA0-CF24-492E-8CE6-2D2BA8A22E9B}"/>
    <hyperlink ref="E80" r:id="rId39" xr:uid="{5DCBC23D-CE56-4832-8920-86B4A7FABE72}"/>
    <hyperlink ref="E95" r:id="rId40" xr:uid="{56A34F50-7AF4-4766-9558-A3DC7438E950}"/>
    <hyperlink ref="E81" r:id="rId41" xr:uid="{BE610F9D-0F87-4A83-87EC-3763EE372BC3}"/>
    <hyperlink ref="E96" r:id="rId42" xr:uid="{CC21A52B-B3DB-4AE8-8665-5495B46F9079}"/>
    <hyperlink ref="E82" r:id="rId43" xr:uid="{D10A1CEF-AFD5-4A72-99F6-DD559CDF79C3}"/>
    <hyperlink ref="E97" r:id="rId44" xr:uid="{E7C595B4-F965-4D03-A878-AEE15612219A}"/>
    <hyperlink ref="E83" r:id="rId45" xr:uid="{8F1AF793-1FD2-4D93-B8B4-EA84AF2FB3F8}"/>
    <hyperlink ref="E98" r:id="rId46" xr:uid="{AA678E85-0205-4D12-AABE-562DC5BC52D8}"/>
    <hyperlink ref="E86" r:id="rId47" xr:uid="{CC5E09B7-0070-4345-BCA4-E9CFE715274C}"/>
    <hyperlink ref="E101" r:id="rId48" xr:uid="{422F05E5-9B68-4BAF-9FD8-C71EB8015FDE}"/>
    <hyperlink ref="E89" r:id="rId49" xr:uid="{88BD92CF-B17F-4BE8-9682-C3EBAB713DC4}"/>
    <hyperlink ref="E104" r:id="rId50" xr:uid="{F418E914-C772-4325-BCB8-BAB7D2C429E1}"/>
    <hyperlink ref="E92" r:id="rId51" xr:uid="{42E605AA-CA69-4CB6-8E7D-3F9398EC3734}"/>
    <hyperlink ref="E84" r:id="rId52" xr:uid="{53B08E77-B3BF-4002-B507-8E9C33A0AB0C}"/>
    <hyperlink ref="E99" r:id="rId53" xr:uid="{A0A398C6-1A1A-486B-9BA2-197E155BED11}"/>
    <hyperlink ref="E87" r:id="rId54" xr:uid="{C14DEDCC-DE96-4C97-8253-E92B06560A31}"/>
    <hyperlink ref="E102" r:id="rId55" xr:uid="{1FE7D4EF-7294-46EA-8D9E-54BC0273DEF7}"/>
    <hyperlink ref="E90" r:id="rId56" xr:uid="{06F20E3B-35E3-47EC-A636-573DC306EE5E}"/>
    <hyperlink ref="E105" r:id="rId57" xr:uid="{E1B82F25-5304-437D-9F86-D8F53D7D05C7}"/>
    <hyperlink ref="E93" r:id="rId58" xr:uid="{2124468A-31C1-4767-9C45-1F6136C42091}"/>
    <hyperlink ref="E85" r:id="rId59" xr:uid="{06DEBB24-F867-4E1E-8583-BE9198F971F4}"/>
    <hyperlink ref="E100" r:id="rId60" xr:uid="{56A6E4F6-04D1-4496-B67A-969617B64BB0}"/>
    <hyperlink ref="E88" r:id="rId61" xr:uid="{BA2302C6-7DF1-4D27-AEBF-044CEC8520E2}"/>
    <hyperlink ref="E103" r:id="rId62" xr:uid="{6BEC9FD9-B08C-4A00-BAF8-3311607925E6}"/>
    <hyperlink ref="E91" r:id="rId63" xr:uid="{9F3EB10E-E789-44C1-9331-7A8DA9D8F1C5}"/>
    <hyperlink ref="E94" r:id="rId64" xr:uid="{CFA0BBB4-D54E-4985-A58B-0A9884269AC1}"/>
  </hyperlinks>
  <pageMargins left="0.7" right="0.7" top="0.75" bottom="0.75" header="0.3" footer="0.3"/>
  <ignoredErrors>
    <ignoredError sqref="F99:I99 F105" twoDigitTextYear="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1F7E2-1A34-443F-BC7B-51354F30F297}">
  <dimension ref="A1:G77"/>
  <sheetViews>
    <sheetView workbookViewId="0">
      <selection activeCell="M16" sqref="M16"/>
    </sheetView>
  </sheetViews>
  <sheetFormatPr defaultRowHeight="14.5" x14ac:dyDescent="0.35"/>
  <cols>
    <col min="1" max="1" width="13.453125" bestFit="1" customWidth="1"/>
    <col min="3" max="3" width="9.54296875" bestFit="1" customWidth="1"/>
    <col min="4" max="4" width="9.453125" bestFit="1" customWidth="1"/>
    <col min="5" max="5" width="11.26953125" bestFit="1" customWidth="1"/>
    <col min="6" max="6" width="9.54296875" bestFit="1" customWidth="1"/>
    <col min="7" max="7" width="10.1796875" bestFit="1" customWidth="1"/>
  </cols>
  <sheetData>
    <row r="1" spans="1:7" ht="15" thickBot="1" x14ac:dyDescent="0.4">
      <c r="A1" s="116"/>
      <c r="B1" s="106" t="s">
        <v>272</v>
      </c>
      <c r="C1" s="106" t="s">
        <v>273</v>
      </c>
      <c r="D1" s="106" t="s">
        <v>274</v>
      </c>
      <c r="E1" s="106" t="s">
        <v>275</v>
      </c>
      <c r="F1" s="106" t="s">
        <v>276</v>
      </c>
      <c r="G1" s="106" t="s">
        <v>277</v>
      </c>
    </row>
    <row r="2" spans="1:7" ht="15" thickTop="1" x14ac:dyDescent="0.35">
      <c r="A2" s="280">
        <v>46113</v>
      </c>
      <c r="B2" s="281">
        <v>500</v>
      </c>
      <c r="C2" s="281">
        <v>300</v>
      </c>
      <c r="D2" s="281">
        <v>200</v>
      </c>
      <c r="E2" s="281">
        <v>200</v>
      </c>
      <c r="F2" s="281">
        <v>1600</v>
      </c>
      <c r="G2" s="281">
        <v>20</v>
      </c>
    </row>
    <row r="3" spans="1:7" x14ac:dyDescent="0.35">
      <c r="A3" s="267">
        <v>46143</v>
      </c>
      <c r="B3" s="5">
        <v>400</v>
      </c>
      <c r="C3" s="5">
        <v>400</v>
      </c>
      <c r="D3" s="5">
        <v>300</v>
      </c>
      <c r="E3" s="5">
        <v>100</v>
      </c>
      <c r="F3" s="5">
        <v>1200</v>
      </c>
      <c r="G3" s="5">
        <v>15</v>
      </c>
    </row>
    <row r="4" spans="1:7" ht="15" thickBot="1" x14ac:dyDescent="0.4">
      <c r="A4" s="282">
        <v>46174</v>
      </c>
      <c r="B4" s="116">
        <v>600</v>
      </c>
      <c r="C4" s="116">
        <v>400</v>
      </c>
      <c r="D4" s="116">
        <v>400</v>
      </c>
      <c r="E4" s="116">
        <v>100</v>
      </c>
      <c r="F4" s="116">
        <v>2000</v>
      </c>
      <c r="G4" s="116">
        <v>15</v>
      </c>
    </row>
    <row r="5" spans="1:7" ht="15.5" thickTop="1" thickBot="1" x14ac:dyDescent="0.4">
      <c r="A5" s="283" t="s">
        <v>278</v>
      </c>
      <c r="B5" s="284">
        <f>SUM(B2:B4)</f>
        <v>1500</v>
      </c>
      <c r="C5" s="284">
        <f t="shared" ref="C5:D5" si="0">SUM(C2:C4)</f>
        <v>1100</v>
      </c>
      <c r="D5" s="284">
        <f t="shared" si="0"/>
        <v>900</v>
      </c>
      <c r="E5" s="284">
        <f>AVERAGE(E2:E4)</f>
        <v>133.33333333333334</v>
      </c>
      <c r="F5" s="284">
        <f t="shared" ref="F5:G5" si="1">SUM(F2:F4)</f>
        <v>4800</v>
      </c>
      <c r="G5" s="284">
        <f t="shared" si="1"/>
        <v>50</v>
      </c>
    </row>
    <row r="6" spans="1:7" ht="15" thickTop="1" x14ac:dyDescent="0.35">
      <c r="A6" s="280">
        <v>46204</v>
      </c>
      <c r="B6" s="114">
        <v>1800</v>
      </c>
      <c r="C6" s="114">
        <v>1000</v>
      </c>
      <c r="D6" s="114">
        <v>900</v>
      </c>
      <c r="E6" s="114">
        <v>150</v>
      </c>
      <c r="F6" s="114">
        <v>3000</v>
      </c>
      <c r="G6" s="114">
        <v>80</v>
      </c>
    </row>
    <row r="7" spans="1:7" x14ac:dyDescent="0.35">
      <c r="A7" s="267">
        <v>46235</v>
      </c>
      <c r="B7" s="5">
        <v>1500</v>
      </c>
      <c r="C7" s="5">
        <v>1100</v>
      </c>
      <c r="D7" s="5">
        <v>900</v>
      </c>
      <c r="E7" s="5">
        <v>150</v>
      </c>
      <c r="F7" s="5">
        <v>3000</v>
      </c>
      <c r="G7" s="5">
        <v>150</v>
      </c>
    </row>
    <row r="8" spans="1:7" ht="15" thickBot="1" x14ac:dyDescent="0.4">
      <c r="A8" s="282">
        <v>46266</v>
      </c>
      <c r="B8" s="116">
        <v>2700</v>
      </c>
      <c r="C8" s="116">
        <v>1900</v>
      </c>
      <c r="D8" s="116">
        <v>1900</v>
      </c>
      <c r="E8" s="116">
        <v>100</v>
      </c>
      <c r="F8" s="116">
        <v>5000</v>
      </c>
      <c r="G8" s="116">
        <v>100</v>
      </c>
    </row>
    <row r="9" spans="1:7" ht="15.5" thickTop="1" thickBot="1" x14ac:dyDescent="0.4">
      <c r="A9" s="285" t="s">
        <v>279</v>
      </c>
      <c r="B9" s="284">
        <f>SUM(B6:B8)</f>
        <v>6000</v>
      </c>
      <c r="C9" s="284">
        <f t="shared" ref="C9" si="2">SUM(C6:C8)</f>
        <v>4000</v>
      </c>
      <c r="D9" s="284">
        <f t="shared" ref="D9" si="3">SUM(D6:D8)</f>
        <v>3700</v>
      </c>
      <c r="E9" s="284">
        <f>AVERAGE(E6:E8)</f>
        <v>133.33333333333334</v>
      </c>
      <c r="F9" s="284">
        <f t="shared" ref="F9:G9" si="4">SUM(F6:F8)</f>
        <v>11000</v>
      </c>
      <c r="G9" s="284">
        <f t="shared" si="4"/>
        <v>330</v>
      </c>
    </row>
    <row r="10" spans="1:7" ht="15.5" thickTop="1" thickBot="1" x14ac:dyDescent="0.4">
      <c r="A10" s="289" t="s">
        <v>280</v>
      </c>
      <c r="B10" s="290">
        <f>SUM(B9+B5)</f>
        <v>7500</v>
      </c>
      <c r="C10" s="290">
        <f t="shared" ref="C10:F10" si="5">SUM(C9+C5)</f>
        <v>5100</v>
      </c>
      <c r="D10" s="290">
        <f t="shared" si="5"/>
        <v>4600</v>
      </c>
      <c r="E10" s="290">
        <f>AVERAGE(E5,E9)</f>
        <v>133.33333333333334</v>
      </c>
      <c r="F10" s="290">
        <f t="shared" si="5"/>
        <v>15800</v>
      </c>
      <c r="G10" s="290">
        <f t="shared" ref="G10" si="6">SUM(G9+G5)</f>
        <v>380</v>
      </c>
    </row>
    <row r="11" spans="1:7" ht="15" thickTop="1" x14ac:dyDescent="0.35">
      <c r="A11" s="279">
        <v>46296</v>
      </c>
      <c r="B11" s="159"/>
      <c r="C11" s="159"/>
      <c r="D11" s="159"/>
      <c r="E11" s="159"/>
      <c r="F11" s="159"/>
      <c r="G11" s="159"/>
    </row>
    <row r="12" spans="1:7" x14ac:dyDescent="0.35">
      <c r="A12" s="267">
        <v>46327</v>
      </c>
      <c r="B12" s="5"/>
      <c r="C12" s="5"/>
      <c r="D12" s="5"/>
      <c r="E12" s="5"/>
      <c r="F12" s="5"/>
      <c r="G12" s="5"/>
    </row>
    <row r="13" spans="1:7" ht="15" thickBot="1" x14ac:dyDescent="0.4">
      <c r="A13" s="282">
        <v>46357</v>
      </c>
      <c r="B13" s="116"/>
      <c r="C13" s="116"/>
      <c r="D13" s="116"/>
      <c r="E13" s="116"/>
      <c r="F13" s="116"/>
      <c r="G13" s="116"/>
    </row>
    <row r="14" spans="1:7" ht="15.5" thickTop="1" thickBot="1" x14ac:dyDescent="0.4">
      <c r="A14" s="288" t="s">
        <v>281</v>
      </c>
      <c r="B14" s="284">
        <f>SUM(B11:B13)</f>
        <v>0</v>
      </c>
      <c r="C14" s="284">
        <f t="shared" ref="C14" si="7">SUM(C11:C13)</f>
        <v>0</v>
      </c>
      <c r="D14" s="284">
        <f t="shared" ref="D14" si="8">SUM(D11:D13)</f>
        <v>0</v>
      </c>
      <c r="E14" s="284" t="e">
        <f>AVERAGE(E11:E13)</f>
        <v>#DIV/0!</v>
      </c>
      <c r="F14" s="284">
        <f t="shared" ref="F14:G14" si="9">SUM(F11:F13)</f>
        <v>0</v>
      </c>
      <c r="G14" s="284">
        <f t="shared" si="9"/>
        <v>0</v>
      </c>
    </row>
    <row r="15" spans="1:7" ht="15.5" thickTop="1" thickBot="1" x14ac:dyDescent="0.4">
      <c r="A15" s="289" t="s">
        <v>280</v>
      </c>
      <c r="B15" s="290">
        <f>SUM(B14+B10)</f>
        <v>7500</v>
      </c>
      <c r="C15" s="290">
        <f t="shared" ref="C15" si="10">SUM(C14+C10)</f>
        <v>5100</v>
      </c>
      <c r="D15" s="290">
        <f t="shared" ref="D15" si="11">SUM(D14+D10)</f>
        <v>4600</v>
      </c>
      <c r="E15" s="290" t="e">
        <f>AVERAGE(E10,E14)</f>
        <v>#DIV/0!</v>
      </c>
      <c r="F15" s="290">
        <f t="shared" ref="F15:G15" si="12">SUM(F14+F10)</f>
        <v>15800</v>
      </c>
      <c r="G15" s="290">
        <f t="shared" si="12"/>
        <v>380</v>
      </c>
    </row>
    <row r="16" spans="1:7" ht="15" thickTop="1" x14ac:dyDescent="0.35">
      <c r="A16" s="279">
        <v>46388</v>
      </c>
      <c r="B16" s="159"/>
      <c r="C16" s="159"/>
      <c r="D16" s="159"/>
      <c r="E16" s="159"/>
      <c r="F16" s="159"/>
      <c r="G16" s="159"/>
    </row>
    <row r="17" spans="1:7" x14ac:dyDescent="0.35">
      <c r="A17" s="267">
        <v>46419</v>
      </c>
      <c r="B17" s="5"/>
      <c r="C17" s="5"/>
      <c r="D17" s="5"/>
      <c r="E17" s="5"/>
      <c r="F17" s="5"/>
      <c r="G17" s="5"/>
    </row>
    <row r="18" spans="1:7" ht="15" thickBot="1" x14ac:dyDescent="0.4">
      <c r="A18" s="282">
        <v>46447</v>
      </c>
      <c r="B18" s="116"/>
      <c r="C18" s="116"/>
      <c r="D18" s="116"/>
      <c r="E18" s="116"/>
      <c r="F18" s="116"/>
      <c r="G18" s="116"/>
    </row>
    <row r="19" spans="1:7" ht="15.5" thickTop="1" thickBot="1" x14ac:dyDescent="0.4">
      <c r="A19" s="288" t="s">
        <v>282</v>
      </c>
      <c r="B19" s="284">
        <f>SUM(B16:B18)</f>
        <v>0</v>
      </c>
      <c r="C19" s="284">
        <f t="shared" ref="C19" si="13">SUM(C16:C18)</f>
        <v>0</v>
      </c>
      <c r="D19" s="284">
        <f t="shared" ref="D19" si="14">SUM(D16:D18)</f>
        <v>0</v>
      </c>
      <c r="E19" s="284" t="e">
        <f>AVERAGE(E16:E18)</f>
        <v>#DIV/0!</v>
      </c>
      <c r="F19" s="284">
        <f t="shared" ref="F19:G19" si="15">SUM(F16:F18)</f>
        <v>0</v>
      </c>
      <c r="G19" s="284">
        <f t="shared" si="15"/>
        <v>0</v>
      </c>
    </row>
    <row r="20" spans="1:7" ht="15.5" thickTop="1" thickBot="1" x14ac:dyDescent="0.4">
      <c r="A20" s="286" t="s">
        <v>280</v>
      </c>
      <c r="B20" s="287">
        <f>SUM(B19+B15)</f>
        <v>7500</v>
      </c>
      <c r="C20" s="287">
        <f t="shared" ref="C20" si="16">SUM(C19+C15)</f>
        <v>5100</v>
      </c>
      <c r="D20" s="287">
        <f t="shared" ref="D20" si="17">SUM(D19+D15)</f>
        <v>4600</v>
      </c>
      <c r="E20" s="287" t="e">
        <f>AVERAGE(E19,E15)</f>
        <v>#DIV/0!</v>
      </c>
      <c r="F20" s="287">
        <f t="shared" ref="F20:G20" si="18">SUM(F19+F15)</f>
        <v>15800</v>
      </c>
      <c r="G20" s="287">
        <f t="shared" si="18"/>
        <v>380</v>
      </c>
    </row>
    <row r="21" spans="1:7" ht="15.5" thickTop="1" thickBot="1" x14ac:dyDescent="0.4"/>
    <row r="22" spans="1:7" ht="15" thickBot="1" x14ac:dyDescent="0.4">
      <c r="A22" s="315"/>
      <c r="B22" s="316" t="s">
        <v>283</v>
      </c>
      <c r="C22" s="316" t="s">
        <v>284</v>
      </c>
      <c r="D22" s="316" t="s">
        <v>285</v>
      </c>
      <c r="E22" s="316" t="s">
        <v>284</v>
      </c>
    </row>
    <row r="23" spans="1:7" x14ac:dyDescent="0.35">
      <c r="A23" s="362">
        <v>46113</v>
      </c>
      <c r="B23" s="159" t="s">
        <v>286</v>
      </c>
      <c r="C23" s="159">
        <v>259</v>
      </c>
      <c r="D23" s="159" t="s">
        <v>287</v>
      </c>
      <c r="E23" s="159">
        <v>20</v>
      </c>
    </row>
    <row r="24" spans="1:7" x14ac:dyDescent="0.35">
      <c r="A24" s="363"/>
      <c r="B24" s="5" t="s">
        <v>288</v>
      </c>
      <c r="C24" s="5">
        <v>104</v>
      </c>
      <c r="D24" s="5" t="s">
        <v>289</v>
      </c>
      <c r="E24" s="5">
        <v>30</v>
      </c>
    </row>
    <row r="25" spans="1:7" ht="15" thickBot="1" x14ac:dyDescent="0.4">
      <c r="A25" s="364"/>
      <c r="B25" s="116" t="s">
        <v>290</v>
      </c>
      <c r="C25" s="116">
        <v>87</v>
      </c>
      <c r="D25" s="116" t="s">
        <v>291</v>
      </c>
      <c r="E25" s="116">
        <v>10</v>
      </c>
    </row>
    <row r="26" spans="1:7" x14ac:dyDescent="0.35">
      <c r="A26" s="373">
        <v>46143</v>
      </c>
      <c r="B26" s="231" t="s">
        <v>286</v>
      </c>
      <c r="C26" s="231">
        <v>214</v>
      </c>
      <c r="D26" s="231" t="s">
        <v>292</v>
      </c>
      <c r="E26" s="231">
        <v>20</v>
      </c>
    </row>
    <row r="27" spans="1:7" x14ac:dyDescent="0.35">
      <c r="A27" s="363"/>
      <c r="B27" s="5" t="s">
        <v>290</v>
      </c>
      <c r="C27" s="5">
        <v>146</v>
      </c>
      <c r="D27" s="5" t="s">
        <v>287</v>
      </c>
      <c r="E27" s="5">
        <v>30</v>
      </c>
    </row>
    <row r="28" spans="1:7" ht="15" thickBot="1" x14ac:dyDescent="0.4">
      <c r="A28" s="374"/>
      <c r="B28" s="252" t="s">
        <v>293</v>
      </c>
      <c r="C28" s="252">
        <v>88</v>
      </c>
      <c r="D28" s="252" t="s">
        <v>118</v>
      </c>
      <c r="E28" s="252">
        <v>10</v>
      </c>
    </row>
    <row r="29" spans="1:7" x14ac:dyDescent="0.35">
      <c r="A29" s="362">
        <v>46174</v>
      </c>
      <c r="B29" s="159" t="s">
        <v>286</v>
      </c>
      <c r="C29" s="159">
        <v>296</v>
      </c>
      <c r="D29" s="159" t="s">
        <v>287</v>
      </c>
      <c r="E29" s="159">
        <v>10</v>
      </c>
    </row>
    <row r="30" spans="1:7" x14ac:dyDescent="0.35">
      <c r="A30" s="363"/>
      <c r="B30" s="5" t="s">
        <v>294</v>
      </c>
      <c r="C30" s="5">
        <v>138</v>
      </c>
      <c r="D30" s="5" t="s">
        <v>295</v>
      </c>
      <c r="E30" s="5">
        <v>20</v>
      </c>
    </row>
    <row r="31" spans="1:7" ht="15" thickBot="1" x14ac:dyDescent="0.4">
      <c r="A31" s="364"/>
      <c r="B31" s="116" t="s">
        <v>293</v>
      </c>
      <c r="C31" s="116">
        <v>118</v>
      </c>
      <c r="D31" s="116" t="s">
        <v>296</v>
      </c>
      <c r="E31" s="116">
        <v>20</v>
      </c>
    </row>
    <row r="32" spans="1:7" ht="15" thickTop="1" x14ac:dyDescent="0.35">
      <c r="A32" s="365" t="s">
        <v>278</v>
      </c>
      <c r="B32" s="291" t="s">
        <v>286</v>
      </c>
      <c r="C32" s="291">
        <v>899</v>
      </c>
      <c r="D32" s="291" t="s">
        <v>292</v>
      </c>
      <c r="E32" s="291">
        <v>90</v>
      </c>
    </row>
    <row r="33" spans="1:5" x14ac:dyDescent="0.35">
      <c r="A33" s="366"/>
      <c r="B33" s="134" t="s">
        <v>290</v>
      </c>
      <c r="C33" s="134">
        <v>327</v>
      </c>
      <c r="D33" s="134" t="s">
        <v>287</v>
      </c>
      <c r="E33" s="134">
        <v>90</v>
      </c>
    </row>
    <row r="34" spans="1:5" ht="15" thickBot="1" x14ac:dyDescent="0.4">
      <c r="A34" s="367"/>
      <c r="B34" s="312" t="s">
        <v>293</v>
      </c>
      <c r="C34" s="312">
        <v>277</v>
      </c>
      <c r="D34" s="312" t="s">
        <v>291</v>
      </c>
      <c r="E34" s="312">
        <v>10</v>
      </c>
    </row>
    <row r="35" spans="1:5" ht="15" thickTop="1" x14ac:dyDescent="0.35">
      <c r="A35" s="368">
        <v>46204</v>
      </c>
      <c r="B35" s="114" t="s">
        <v>286</v>
      </c>
      <c r="C35" s="114">
        <v>547</v>
      </c>
      <c r="D35" s="114" t="s">
        <v>297</v>
      </c>
      <c r="E35" s="114">
        <v>190</v>
      </c>
    </row>
    <row r="36" spans="1:5" x14ac:dyDescent="0.35">
      <c r="A36" s="369"/>
      <c r="B36" s="5" t="s">
        <v>298</v>
      </c>
      <c r="C36" s="5">
        <v>308</v>
      </c>
      <c r="D36" s="5" t="s">
        <v>296</v>
      </c>
      <c r="E36" s="5">
        <v>50</v>
      </c>
    </row>
    <row r="37" spans="1:5" ht="15" thickBot="1" x14ac:dyDescent="0.4">
      <c r="A37" s="369"/>
      <c r="B37" s="116" t="s">
        <v>299</v>
      </c>
      <c r="C37" s="116">
        <v>136</v>
      </c>
      <c r="D37" s="116" t="s">
        <v>300</v>
      </c>
      <c r="E37" s="116">
        <v>15</v>
      </c>
    </row>
    <row r="38" spans="1:5" x14ac:dyDescent="0.35">
      <c r="A38" s="370">
        <v>46235</v>
      </c>
      <c r="B38" s="231" t="s">
        <v>286</v>
      </c>
      <c r="C38" s="231">
        <v>652</v>
      </c>
      <c r="D38" s="231" t="s">
        <v>296</v>
      </c>
      <c r="E38" s="231">
        <v>90</v>
      </c>
    </row>
    <row r="39" spans="1:5" x14ac:dyDescent="0.35">
      <c r="A39" s="369"/>
      <c r="B39" s="5" t="s">
        <v>301</v>
      </c>
      <c r="C39" s="5">
        <v>233</v>
      </c>
      <c r="D39" s="5" t="s">
        <v>297</v>
      </c>
      <c r="E39" s="5">
        <v>90</v>
      </c>
    </row>
    <row r="40" spans="1:5" ht="15" thickBot="1" x14ac:dyDescent="0.4">
      <c r="A40" s="372"/>
      <c r="B40" s="252" t="s">
        <v>302</v>
      </c>
      <c r="C40" s="252">
        <v>189</v>
      </c>
      <c r="D40" s="252" t="s">
        <v>303</v>
      </c>
      <c r="E40" s="252">
        <v>50</v>
      </c>
    </row>
    <row r="41" spans="1:5" x14ac:dyDescent="0.35">
      <c r="A41" s="370">
        <v>46266</v>
      </c>
      <c r="B41" s="231" t="s">
        <v>286</v>
      </c>
      <c r="C41" s="231">
        <v>888</v>
      </c>
      <c r="D41" s="231" t="s">
        <v>304</v>
      </c>
      <c r="E41" s="231">
        <v>200</v>
      </c>
    </row>
    <row r="42" spans="1:5" x14ac:dyDescent="0.35">
      <c r="A42" s="369"/>
      <c r="B42" s="5" t="s">
        <v>301</v>
      </c>
      <c r="C42" s="5">
        <v>344</v>
      </c>
      <c r="D42" s="5" t="s">
        <v>303</v>
      </c>
      <c r="E42" s="5">
        <v>50</v>
      </c>
    </row>
    <row r="43" spans="1:5" x14ac:dyDescent="0.35">
      <c r="A43" s="369"/>
      <c r="B43" s="5" t="s">
        <v>302</v>
      </c>
      <c r="C43" s="5">
        <v>325</v>
      </c>
      <c r="D43" s="5" t="s">
        <v>305</v>
      </c>
      <c r="E43" s="5">
        <v>40</v>
      </c>
    </row>
    <row r="44" spans="1:5" ht="15" thickBot="1" x14ac:dyDescent="0.4">
      <c r="A44" s="371"/>
      <c r="B44" s="314" t="s">
        <v>306</v>
      </c>
      <c r="C44" s="314">
        <v>235</v>
      </c>
      <c r="D44" s="314" t="s">
        <v>297</v>
      </c>
      <c r="E44" s="314">
        <v>50</v>
      </c>
    </row>
    <row r="45" spans="1:5" ht="15" thickTop="1" x14ac:dyDescent="0.35">
      <c r="A45" s="365" t="s">
        <v>279</v>
      </c>
      <c r="B45" s="291" t="s">
        <v>286</v>
      </c>
      <c r="C45" s="291">
        <v>2087</v>
      </c>
      <c r="D45" s="291" t="s">
        <v>297</v>
      </c>
      <c r="E45" s="291">
        <v>500</v>
      </c>
    </row>
    <row r="46" spans="1:5" x14ac:dyDescent="0.35">
      <c r="A46" s="366"/>
      <c r="B46" s="134" t="s">
        <v>302</v>
      </c>
      <c r="C46" s="134">
        <v>616</v>
      </c>
      <c r="D46" s="134" t="s">
        <v>304</v>
      </c>
      <c r="E46" s="134">
        <v>400</v>
      </c>
    </row>
    <row r="47" spans="1:5" x14ac:dyDescent="0.35">
      <c r="A47" s="366"/>
      <c r="B47" s="134" t="s">
        <v>301</v>
      </c>
      <c r="C47" s="134">
        <v>598</v>
      </c>
      <c r="D47" s="134" t="s">
        <v>307</v>
      </c>
      <c r="E47" s="134">
        <v>200</v>
      </c>
    </row>
    <row r="48" spans="1:5" ht="15" thickBot="1" x14ac:dyDescent="0.4">
      <c r="A48" s="367"/>
      <c r="B48" s="313" t="s">
        <v>308</v>
      </c>
      <c r="C48" s="313">
        <v>488</v>
      </c>
      <c r="D48" s="313" t="s">
        <v>303</v>
      </c>
      <c r="E48" s="313">
        <v>100</v>
      </c>
    </row>
    <row r="49" spans="1:5" ht="15" thickTop="1" x14ac:dyDescent="0.35">
      <c r="A49" s="368">
        <v>46296</v>
      </c>
      <c r="B49" s="114"/>
      <c r="C49" s="114"/>
      <c r="D49" s="114"/>
      <c r="E49" s="114"/>
    </row>
    <row r="50" spans="1:5" x14ac:dyDescent="0.35">
      <c r="A50" s="369"/>
      <c r="B50" s="5"/>
      <c r="C50" s="5"/>
      <c r="D50" s="5"/>
      <c r="E50" s="5"/>
    </row>
    <row r="51" spans="1:5" ht="15" thickBot="1" x14ac:dyDescent="0.4">
      <c r="A51" s="369"/>
      <c r="B51" s="116"/>
      <c r="C51" s="116"/>
      <c r="D51" s="116"/>
      <c r="E51" s="116"/>
    </row>
    <row r="52" spans="1:5" x14ac:dyDescent="0.35">
      <c r="A52" s="370">
        <v>46327</v>
      </c>
      <c r="B52" s="231"/>
      <c r="C52" s="231"/>
      <c r="D52" s="231"/>
      <c r="E52" s="231"/>
    </row>
    <row r="53" spans="1:5" x14ac:dyDescent="0.35">
      <c r="A53" s="369"/>
      <c r="B53" s="5"/>
      <c r="C53" s="5"/>
      <c r="D53" s="5"/>
      <c r="E53" s="5"/>
    </row>
    <row r="54" spans="1:5" ht="15" thickBot="1" x14ac:dyDescent="0.4">
      <c r="A54" s="372"/>
      <c r="B54" s="252"/>
      <c r="C54" s="252"/>
      <c r="D54" s="252"/>
      <c r="E54" s="252"/>
    </row>
    <row r="55" spans="1:5" x14ac:dyDescent="0.35">
      <c r="A55" s="370">
        <v>46357</v>
      </c>
      <c r="B55" s="231"/>
      <c r="C55" s="231"/>
      <c r="D55" s="231"/>
      <c r="E55" s="231"/>
    </row>
    <row r="56" spans="1:5" x14ac:dyDescent="0.35">
      <c r="A56" s="369"/>
      <c r="B56" s="5"/>
      <c r="C56" s="5"/>
      <c r="D56" s="5"/>
      <c r="E56" s="5"/>
    </row>
    <row r="57" spans="1:5" x14ac:dyDescent="0.35">
      <c r="A57" s="369"/>
      <c r="B57" s="5"/>
      <c r="C57" s="5"/>
      <c r="D57" s="5"/>
      <c r="E57" s="5"/>
    </row>
    <row r="58" spans="1:5" ht="15" thickBot="1" x14ac:dyDescent="0.4">
      <c r="A58" s="371"/>
      <c r="B58" s="314"/>
      <c r="C58" s="314"/>
      <c r="D58" s="314"/>
      <c r="E58" s="314"/>
    </row>
    <row r="59" spans="1:5" ht="15" thickTop="1" x14ac:dyDescent="0.35">
      <c r="A59" s="365" t="s">
        <v>281</v>
      </c>
      <c r="B59" s="291"/>
      <c r="C59" s="291"/>
      <c r="D59" s="291"/>
      <c r="E59" s="291"/>
    </row>
    <row r="60" spans="1:5" x14ac:dyDescent="0.35">
      <c r="A60" s="366"/>
      <c r="B60" s="134"/>
      <c r="C60" s="134"/>
      <c r="D60" s="134"/>
      <c r="E60" s="134"/>
    </row>
    <row r="61" spans="1:5" x14ac:dyDescent="0.35">
      <c r="A61" s="366"/>
      <c r="B61" s="134"/>
      <c r="C61" s="134"/>
      <c r="D61" s="134"/>
      <c r="E61" s="134"/>
    </row>
    <row r="62" spans="1:5" ht="15" thickBot="1" x14ac:dyDescent="0.4">
      <c r="A62" s="367"/>
      <c r="B62" s="313"/>
      <c r="C62" s="313"/>
      <c r="D62" s="313"/>
      <c r="E62" s="313"/>
    </row>
    <row r="63" spans="1:5" ht="15" thickTop="1" x14ac:dyDescent="0.35">
      <c r="A63" s="368">
        <v>46388</v>
      </c>
      <c r="B63" s="114"/>
      <c r="C63" s="114"/>
      <c r="D63" s="114"/>
      <c r="E63" s="114"/>
    </row>
    <row r="64" spans="1:5" x14ac:dyDescent="0.35">
      <c r="A64" s="369"/>
      <c r="B64" s="5"/>
      <c r="C64" s="5"/>
      <c r="D64" s="5"/>
      <c r="E64" s="5"/>
    </row>
    <row r="65" spans="1:5" ht="15" thickBot="1" x14ac:dyDescent="0.4">
      <c r="A65" s="369"/>
      <c r="B65" s="116"/>
      <c r="C65" s="116"/>
      <c r="D65" s="116"/>
      <c r="E65" s="116"/>
    </row>
    <row r="66" spans="1:5" x14ac:dyDescent="0.35">
      <c r="A66" s="370">
        <v>46419</v>
      </c>
      <c r="B66" s="231"/>
      <c r="C66" s="231"/>
      <c r="D66" s="231"/>
      <c r="E66" s="231"/>
    </row>
    <row r="67" spans="1:5" x14ac:dyDescent="0.35">
      <c r="A67" s="369"/>
      <c r="B67" s="5"/>
      <c r="C67" s="5"/>
      <c r="D67" s="5"/>
      <c r="E67" s="5"/>
    </row>
    <row r="68" spans="1:5" ht="15" thickBot="1" x14ac:dyDescent="0.4">
      <c r="A68" s="372"/>
      <c r="B68" s="252"/>
      <c r="C68" s="252"/>
      <c r="D68" s="252"/>
      <c r="E68" s="252"/>
    </row>
    <row r="69" spans="1:5" x14ac:dyDescent="0.35">
      <c r="A69" s="370">
        <v>46447</v>
      </c>
      <c r="B69" s="231"/>
      <c r="C69" s="231"/>
      <c r="D69" s="231"/>
      <c r="E69" s="231"/>
    </row>
    <row r="70" spans="1:5" x14ac:dyDescent="0.35">
      <c r="A70" s="369"/>
      <c r="B70" s="5"/>
      <c r="C70" s="5"/>
      <c r="D70" s="5"/>
      <c r="E70" s="5"/>
    </row>
    <row r="71" spans="1:5" x14ac:dyDescent="0.35">
      <c r="A71" s="369"/>
      <c r="B71" s="5"/>
      <c r="C71" s="5"/>
      <c r="D71" s="5"/>
      <c r="E71" s="5"/>
    </row>
    <row r="72" spans="1:5" ht="15" thickBot="1" x14ac:dyDescent="0.4">
      <c r="A72" s="371"/>
      <c r="B72" s="314"/>
      <c r="C72" s="314"/>
      <c r="D72" s="314"/>
      <c r="E72" s="314"/>
    </row>
    <row r="73" spans="1:5" ht="15" thickTop="1" x14ac:dyDescent="0.35">
      <c r="A73" s="365" t="s">
        <v>282</v>
      </c>
      <c r="B73" s="291"/>
      <c r="C73" s="291"/>
      <c r="D73" s="291"/>
      <c r="E73" s="291"/>
    </row>
    <row r="74" spans="1:5" x14ac:dyDescent="0.35">
      <c r="A74" s="366"/>
      <c r="B74" s="134"/>
      <c r="C74" s="134"/>
      <c r="D74" s="134"/>
      <c r="E74" s="134"/>
    </row>
    <row r="75" spans="1:5" x14ac:dyDescent="0.35">
      <c r="A75" s="366"/>
      <c r="B75" s="134"/>
      <c r="C75" s="134"/>
      <c r="D75" s="134"/>
      <c r="E75" s="134"/>
    </row>
    <row r="76" spans="1:5" ht="15" thickBot="1" x14ac:dyDescent="0.4">
      <c r="A76" s="367"/>
      <c r="B76" s="313"/>
      <c r="C76" s="313"/>
      <c r="D76" s="313"/>
      <c r="E76" s="313"/>
    </row>
    <row r="77" spans="1:5" ht="15" thickTop="1" x14ac:dyDescent="0.35"/>
  </sheetData>
  <mergeCells count="16">
    <mergeCell ref="A66:A68"/>
    <mergeCell ref="A69:A72"/>
    <mergeCell ref="A73:A76"/>
    <mergeCell ref="A49:A51"/>
    <mergeCell ref="A52:A54"/>
    <mergeCell ref="A55:A58"/>
    <mergeCell ref="A59:A62"/>
    <mergeCell ref="A63:A65"/>
    <mergeCell ref="A23:A25"/>
    <mergeCell ref="A32:A34"/>
    <mergeCell ref="A35:A37"/>
    <mergeCell ref="A41:A44"/>
    <mergeCell ref="A45:A48"/>
    <mergeCell ref="A38:A40"/>
    <mergeCell ref="A26:A28"/>
    <mergeCell ref="A29:A3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B5143-67B3-42D9-8CF5-BF63DEACB3ED}">
  <dimension ref="A1:J59"/>
  <sheetViews>
    <sheetView zoomScale="88" zoomScaleNormal="88" workbookViewId="0">
      <selection activeCell="H23" sqref="H23"/>
    </sheetView>
  </sheetViews>
  <sheetFormatPr defaultRowHeight="14.5" x14ac:dyDescent="0.35"/>
  <cols>
    <col min="1" max="1" width="13.453125" bestFit="1" customWidth="1"/>
    <col min="2" max="2" width="8.81640625" bestFit="1" customWidth="1"/>
    <col min="3" max="3" width="10.54296875" bestFit="1" customWidth="1"/>
    <col min="6" max="6" width="14.81640625" bestFit="1" customWidth="1"/>
    <col min="7" max="7" width="12.453125" bestFit="1" customWidth="1"/>
    <col min="8" max="8" width="13" bestFit="1" customWidth="1"/>
  </cols>
  <sheetData>
    <row r="1" spans="1:10" x14ac:dyDescent="0.35">
      <c r="A1" s="89" t="s">
        <v>309</v>
      </c>
      <c r="B1" s="89" t="s">
        <v>310</v>
      </c>
      <c r="C1" s="89" t="s">
        <v>311</v>
      </c>
      <c r="D1" s="89" t="s">
        <v>312</v>
      </c>
      <c r="E1" s="89" t="s">
        <v>313</v>
      </c>
      <c r="F1" s="89" t="s">
        <v>314</v>
      </c>
      <c r="G1" s="89" t="s">
        <v>315</v>
      </c>
      <c r="H1" s="89" t="s">
        <v>316</v>
      </c>
    </row>
    <row r="2" spans="1:10" x14ac:dyDescent="0.35">
      <c r="A2" s="364">
        <v>46113</v>
      </c>
      <c r="B2" s="268" t="s">
        <v>317</v>
      </c>
      <c r="C2" s="268">
        <v>999</v>
      </c>
      <c r="D2" s="268">
        <v>100</v>
      </c>
      <c r="E2" s="268">
        <v>400</v>
      </c>
      <c r="F2" s="269">
        <v>8.2699999999999996E-2</v>
      </c>
      <c r="G2" s="268">
        <v>5</v>
      </c>
      <c r="H2" s="268">
        <v>700</v>
      </c>
    </row>
    <row r="3" spans="1:10" x14ac:dyDescent="0.35">
      <c r="A3" s="369"/>
      <c r="B3" s="184" t="s">
        <v>318</v>
      </c>
      <c r="C3" s="184">
        <v>888</v>
      </c>
      <c r="D3" s="184">
        <v>40</v>
      </c>
      <c r="E3" s="184">
        <v>300</v>
      </c>
      <c r="F3" s="271"/>
      <c r="G3" s="184">
        <v>4</v>
      </c>
      <c r="H3" s="184">
        <v>800</v>
      </c>
    </row>
    <row r="4" spans="1:10" ht="15" thickBot="1" x14ac:dyDescent="0.4">
      <c r="A4" s="369"/>
      <c r="B4" s="110" t="s">
        <v>319</v>
      </c>
      <c r="C4" s="110"/>
      <c r="D4" s="110" t="s">
        <v>320</v>
      </c>
      <c r="E4" s="110">
        <v>100</v>
      </c>
      <c r="F4" s="272">
        <v>0.12540000000000001</v>
      </c>
      <c r="G4" s="110">
        <v>4</v>
      </c>
      <c r="H4" s="110">
        <v>400</v>
      </c>
    </row>
    <row r="5" spans="1:10" x14ac:dyDescent="0.35">
      <c r="A5" s="370">
        <v>46143</v>
      </c>
      <c r="B5" s="275" t="s">
        <v>317</v>
      </c>
      <c r="C5" s="275">
        <v>2222</v>
      </c>
      <c r="D5" s="275">
        <v>100</v>
      </c>
      <c r="E5" s="275">
        <v>900</v>
      </c>
      <c r="F5" s="276">
        <v>6.1100000000000002E-2</v>
      </c>
      <c r="G5" s="275">
        <v>8</v>
      </c>
      <c r="H5" s="275">
        <v>700</v>
      </c>
    </row>
    <row r="6" spans="1:10" x14ac:dyDescent="0.35">
      <c r="A6" s="369"/>
      <c r="B6" s="184" t="s">
        <v>318</v>
      </c>
      <c r="C6" s="184">
        <v>1111</v>
      </c>
      <c r="D6" s="184">
        <v>40</v>
      </c>
      <c r="E6" s="184">
        <v>500</v>
      </c>
      <c r="F6" s="271"/>
      <c r="G6" s="184">
        <v>4</v>
      </c>
      <c r="H6" s="184">
        <v>600</v>
      </c>
    </row>
    <row r="7" spans="1:10" ht="15" thickBot="1" x14ac:dyDescent="0.4">
      <c r="A7" s="372"/>
      <c r="B7" s="277" t="s">
        <v>319</v>
      </c>
      <c r="C7" s="277"/>
      <c r="D7" s="277" t="s">
        <v>320</v>
      </c>
      <c r="E7" s="277">
        <v>100</v>
      </c>
      <c r="F7" s="278">
        <v>0.14799999999999999</v>
      </c>
      <c r="G7" s="277">
        <v>3</v>
      </c>
      <c r="H7" s="277">
        <v>400</v>
      </c>
    </row>
    <row r="8" spans="1:10" x14ac:dyDescent="0.35">
      <c r="A8" s="369">
        <v>46174</v>
      </c>
      <c r="B8" s="273" t="s">
        <v>317</v>
      </c>
      <c r="C8" s="273">
        <v>1999</v>
      </c>
      <c r="D8" s="273">
        <v>100</v>
      </c>
      <c r="E8" s="273">
        <v>700</v>
      </c>
      <c r="F8" s="274">
        <v>6.9500000000000006E-2</v>
      </c>
      <c r="G8" s="273">
        <v>2</v>
      </c>
      <c r="H8" s="273">
        <v>700</v>
      </c>
    </row>
    <row r="9" spans="1:10" x14ac:dyDescent="0.35">
      <c r="A9" s="369"/>
      <c r="B9" s="184" t="s">
        <v>318</v>
      </c>
      <c r="C9" s="184">
        <v>2000</v>
      </c>
      <c r="D9" s="184">
        <v>40</v>
      </c>
      <c r="E9" s="184">
        <v>100</v>
      </c>
      <c r="F9" s="184"/>
      <c r="G9" s="184">
        <v>3</v>
      </c>
      <c r="H9" s="184">
        <v>700</v>
      </c>
    </row>
    <row r="10" spans="1:10" ht="15" thickBot="1" x14ac:dyDescent="0.4">
      <c r="A10" s="369"/>
      <c r="B10" s="110" t="s">
        <v>319</v>
      </c>
      <c r="C10" s="110"/>
      <c r="D10" s="110" t="s">
        <v>320</v>
      </c>
      <c r="E10" s="110">
        <v>400</v>
      </c>
      <c r="F10" s="272">
        <v>9.9900000000000003E-2</v>
      </c>
      <c r="G10" s="110">
        <v>2</v>
      </c>
      <c r="H10" s="110">
        <v>400</v>
      </c>
    </row>
    <row r="11" spans="1:10" ht="15" thickTop="1" x14ac:dyDescent="0.35">
      <c r="A11" s="375" t="s">
        <v>278</v>
      </c>
      <c r="B11" s="292" t="s">
        <v>317</v>
      </c>
      <c r="C11" s="292">
        <v>6000</v>
      </c>
      <c r="D11" s="292">
        <f t="shared" ref="C11:E12" si="0">SUM(D2,D5,D8)</f>
        <v>300</v>
      </c>
      <c r="E11" s="292">
        <f t="shared" si="0"/>
        <v>2000</v>
      </c>
      <c r="F11" s="293">
        <f>AVERAGE(F2,F5,F8)</f>
        <v>7.1099999999999997E-2</v>
      </c>
      <c r="G11" s="292">
        <f>SUM(G2,G5,G8)</f>
        <v>15</v>
      </c>
      <c r="H11" s="292">
        <f>H8</f>
        <v>700</v>
      </c>
      <c r="I11" s="21"/>
      <c r="J11" s="21"/>
    </row>
    <row r="12" spans="1:10" x14ac:dyDescent="0.35">
      <c r="A12" s="326"/>
      <c r="B12" s="294" t="s">
        <v>318</v>
      </c>
      <c r="C12" s="294">
        <v>4000</v>
      </c>
      <c r="D12" s="294">
        <f t="shared" si="0"/>
        <v>120</v>
      </c>
      <c r="E12" s="294">
        <f t="shared" si="0"/>
        <v>900</v>
      </c>
      <c r="F12" s="295"/>
      <c r="G12" s="294">
        <f>SUM(G3,G6,G9)</f>
        <v>11</v>
      </c>
      <c r="H12" s="294">
        <v>699</v>
      </c>
      <c r="I12" s="21"/>
      <c r="J12" s="21"/>
    </row>
    <row r="13" spans="1:10" ht="15" thickBot="1" x14ac:dyDescent="0.4">
      <c r="A13" s="326"/>
      <c r="B13" s="296" t="s">
        <v>319</v>
      </c>
      <c r="C13" s="296">
        <f>SUM(C4,C7,C10)</f>
        <v>0</v>
      </c>
      <c r="D13" s="296">
        <f t="shared" ref="D13:G13" si="1">SUM(D4,D7,D10)</f>
        <v>0</v>
      </c>
      <c r="E13" s="296">
        <f>SUM(E4,E7,E10)</f>
        <v>600</v>
      </c>
      <c r="F13" s="297">
        <f>AVERAGE(F4,F7,F10)</f>
        <v>0.12443333333333333</v>
      </c>
      <c r="G13" s="296">
        <f t="shared" si="1"/>
        <v>9</v>
      </c>
      <c r="H13" s="298">
        <f>H10</f>
        <v>400</v>
      </c>
      <c r="I13" s="21"/>
      <c r="J13" s="21"/>
    </row>
    <row r="14" spans="1:10" ht="15" thickTop="1" x14ac:dyDescent="0.35">
      <c r="A14" s="368">
        <v>46204</v>
      </c>
      <c r="B14" s="270" t="s">
        <v>317</v>
      </c>
      <c r="C14" s="270">
        <v>4000</v>
      </c>
      <c r="D14" s="270">
        <v>190</v>
      </c>
      <c r="E14" s="270">
        <v>2000</v>
      </c>
      <c r="F14" s="270">
        <v>27.41</v>
      </c>
      <c r="G14" s="270">
        <v>40</v>
      </c>
      <c r="H14" s="270">
        <v>900</v>
      </c>
      <c r="I14" s="300"/>
    </row>
    <row r="15" spans="1:10" x14ac:dyDescent="0.35">
      <c r="A15" s="369"/>
      <c r="B15" s="184" t="s">
        <v>318</v>
      </c>
      <c r="C15" s="184">
        <v>3000</v>
      </c>
      <c r="D15" s="184">
        <v>70</v>
      </c>
      <c r="E15" s="184">
        <v>3000</v>
      </c>
      <c r="F15" s="184"/>
      <c r="G15" s="184">
        <v>34</v>
      </c>
      <c r="H15" s="184">
        <v>700</v>
      </c>
    </row>
    <row r="16" spans="1:10" ht="15" thickBot="1" x14ac:dyDescent="0.4">
      <c r="A16" s="369"/>
      <c r="B16" s="110" t="s">
        <v>319</v>
      </c>
      <c r="C16" s="110"/>
      <c r="D16" s="110" t="s">
        <v>320</v>
      </c>
      <c r="E16" s="110">
        <v>300</v>
      </c>
      <c r="F16" s="110">
        <v>12.06</v>
      </c>
      <c r="G16" s="110">
        <v>33</v>
      </c>
      <c r="H16" s="110">
        <v>400</v>
      </c>
    </row>
    <row r="17" spans="1:8" x14ac:dyDescent="0.35">
      <c r="A17" s="370">
        <v>46235</v>
      </c>
      <c r="B17" s="275" t="s">
        <v>317</v>
      </c>
      <c r="C17" s="275">
        <v>4000</v>
      </c>
      <c r="D17" s="275">
        <v>90</v>
      </c>
      <c r="E17" s="275">
        <v>2000</v>
      </c>
      <c r="F17" s="275">
        <v>7.61</v>
      </c>
      <c r="G17" s="275">
        <v>2</v>
      </c>
      <c r="H17" s="275">
        <v>800</v>
      </c>
    </row>
    <row r="18" spans="1:8" x14ac:dyDescent="0.35">
      <c r="A18" s="369"/>
      <c r="B18" s="184" t="s">
        <v>318</v>
      </c>
      <c r="C18" s="184">
        <v>2000</v>
      </c>
      <c r="D18" s="184">
        <v>20</v>
      </c>
      <c r="E18" s="184"/>
      <c r="F18" s="184"/>
      <c r="G18" s="184">
        <v>0</v>
      </c>
      <c r="H18" s="184">
        <v>800</v>
      </c>
    </row>
    <row r="19" spans="1:8" ht="15" thickBot="1" x14ac:dyDescent="0.4">
      <c r="A19" s="372"/>
      <c r="B19" s="277" t="s">
        <v>319</v>
      </c>
      <c r="C19" s="277"/>
      <c r="D19" s="277" t="s">
        <v>320</v>
      </c>
      <c r="E19" s="277">
        <v>300</v>
      </c>
      <c r="F19" s="277">
        <v>16.14</v>
      </c>
      <c r="G19" s="277">
        <v>3</v>
      </c>
      <c r="H19" s="277">
        <v>400</v>
      </c>
    </row>
    <row r="20" spans="1:8" x14ac:dyDescent="0.35">
      <c r="A20" s="369">
        <v>46266</v>
      </c>
      <c r="B20" s="273" t="s">
        <v>317</v>
      </c>
      <c r="C20" s="273"/>
      <c r="D20" s="273"/>
      <c r="E20" s="273"/>
      <c r="F20" s="273"/>
      <c r="G20" s="273">
        <v>60</v>
      </c>
      <c r="H20" s="273">
        <v>400</v>
      </c>
    </row>
    <row r="21" spans="1:8" x14ac:dyDescent="0.35">
      <c r="A21" s="369"/>
      <c r="B21" s="184" t="s">
        <v>318</v>
      </c>
      <c r="C21" s="184"/>
      <c r="D21" s="184"/>
      <c r="E21" s="184"/>
      <c r="F21" s="184"/>
      <c r="G21" s="184">
        <v>10</v>
      </c>
      <c r="H21" s="184">
        <v>600</v>
      </c>
    </row>
    <row r="22" spans="1:8" ht="15" thickBot="1" x14ac:dyDescent="0.4">
      <c r="A22" s="369"/>
      <c r="B22" s="110" t="s">
        <v>319</v>
      </c>
      <c r="C22" s="110"/>
      <c r="D22" s="110" t="s">
        <v>320</v>
      </c>
      <c r="E22" s="110"/>
      <c r="F22" s="110"/>
      <c r="G22" s="110">
        <v>9</v>
      </c>
      <c r="H22" s="110">
        <v>600</v>
      </c>
    </row>
    <row r="23" spans="1:8" ht="15" thickTop="1" x14ac:dyDescent="0.35">
      <c r="A23" s="375" t="s">
        <v>279</v>
      </c>
      <c r="B23" s="292" t="s">
        <v>317</v>
      </c>
      <c r="C23" s="292">
        <f t="shared" ref="C23:E24" si="2">SUM(C14,C17,C20)</f>
        <v>8000</v>
      </c>
      <c r="D23" s="292">
        <f t="shared" si="2"/>
        <v>280</v>
      </c>
      <c r="E23" s="292">
        <f t="shared" si="2"/>
        <v>4000</v>
      </c>
      <c r="F23" s="292"/>
      <c r="G23" s="292">
        <f>H23-H11</f>
        <v>-300</v>
      </c>
      <c r="H23" s="292">
        <f>H20</f>
        <v>400</v>
      </c>
    </row>
    <row r="24" spans="1:8" x14ac:dyDescent="0.35">
      <c r="A24" s="326"/>
      <c r="B24" s="294" t="s">
        <v>318</v>
      </c>
      <c r="C24" s="294">
        <f t="shared" si="2"/>
        <v>5000</v>
      </c>
      <c r="D24" s="294">
        <f t="shared" si="2"/>
        <v>90</v>
      </c>
      <c r="E24" s="294">
        <f t="shared" si="2"/>
        <v>3000</v>
      </c>
      <c r="F24" s="294"/>
      <c r="G24" s="294">
        <f>H24-H12</f>
        <v>-99</v>
      </c>
      <c r="H24" s="294">
        <f>H21</f>
        <v>600</v>
      </c>
    </row>
    <row r="25" spans="1:8" ht="15" thickBot="1" x14ac:dyDescent="0.4">
      <c r="A25" s="326"/>
      <c r="B25" s="296" t="s">
        <v>319</v>
      </c>
      <c r="C25" s="296">
        <f>SUM(C16,C19,C22)</f>
        <v>0</v>
      </c>
      <c r="D25" s="296">
        <f t="shared" ref="D25:G25" si="3">SUM(D16,D19,D22)</f>
        <v>0</v>
      </c>
      <c r="E25" s="296">
        <f t="shared" si="3"/>
        <v>600</v>
      </c>
      <c r="F25" s="296"/>
      <c r="G25" s="296">
        <f t="shared" si="3"/>
        <v>45</v>
      </c>
      <c r="H25" s="296">
        <f>H22</f>
        <v>600</v>
      </c>
    </row>
    <row r="26" spans="1:8" ht="15" thickTop="1" x14ac:dyDescent="0.35">
      <c r="A26" s="375" t="s">
        <v>280</v>
      </c>
      <c r="B26" s="292" t="s">
        <v>317</v>
      </c>
      <c r="C26" s="292">
        <f>SUM(C23+C11)</f>
        <v>14000</v>
      </c>
      <c r="D26" s="292">
        <f t="shared" ref="D26:G26" si="4">SUM(D23+D11)</f>
        <v>580</v>
      </c>
      <c r="E26" s="292">
        <f t="shared" si="4"/>
        <v>6000</v>
      </c>
      <c r="F26" s="292"/>
      <c r="G26" s="292">
        <f t="shared" si="4"/>
        <v>-285</v>
      </c>
      <c r="H26" s="292"/>
    </row>
    <row r="27" spans="1:8" x14ac:dyDescent="0.35">
      <c r="A27" s="326"/>
      <c r="B27" s="294" t="s">
        <v>318</v>
      </c>
      <c r="C27" s="294">
        <f>SUM(C24+C12)</f>
        <v>9000</v>
      </c>
      <c r="D27" s="294">
        <f t="shared" ref="D27:G27" si="5">SUM(D24+D12)</f>
        <v>210</v>
      </c>
      <c r="E27" s="294">
        <f t="shared" si="5"/>
        <v>3900</v>
      </c>
      <c r="F27" s="294"/>
      <c r="G27" s="294">
        <f t="shared" si="5"/>
        <v>-88</v>
      </c>
      <c r="H27" s="294"/>
    </row>
    <row r="28" spans="1:8" ht="15" thickBot="1" x14ac:dyDescent="0.4">
      <c r="A28" s="326"/>
      <c r="B28" s="296" t="s">
        <v>319</v>
      </c>
      <c r="C28" s="296">
        <f>SUM(C25+C13)</f>
        <v>0</v>
      </c>
      <c r="D28" s="296">
        <f t="shared" ref="D28:G28" si="6">SUM(D25+D13)</f>
        <v>0</v>
      </c>
      <c r="E28" s="296">
        <f t="shared" si="6"/>
        <v>1200</v>
      </c>
      <c r="F28" s="296"/>
      <c r="G28" s="296">
        <f t="shared" si="6"/>
        <v>54</v>
      </c>
      <c r="H28" s="296"/>
    </row>
    <row r="29" spans="1:8" ht="15" thickTop="1" x14ac:dyDescent="0.35">
      <c r="A29" s="368">
        <v>46296</v>
      </c>
      <c r="B29" s="270" t="s">
        <v>317</v>
      </c>
      <c r="C29" s="270"/>
      <c r="D29" s="270"/>
      <c r="E29" s="270"/>
      <c r="F29" s="270"/>
      <c r="G29" s="270"/>
      <c r="H29" s="270"/>
    </row>
    <row r="30" spans="1:8" x14ac:dyDescent="0.35">
      <c r="A30" s="369"/>
      <c r="B30" s="184" t="s">
        <v>318</v>
      </c>
      <c r="C30" s="184"/>
      <c r="D30" s="184"/>
      <c r="E30" s="184"/>
      <c r="F30" s="184"/>
      <c r="G30" s="184"/>
      <c r="H30" s="184"/>
    </row>
    <row r="31" spans="1:8" ht="15" thickBot="1" x14ac:dyDescent="0.4">
      <c r="A31" s="369"/>
      <c r="B31" s="110" t="s">
        <v>319</v>
      </c>
      <c r="C31" s="110"/>
      <c r="D31" s="110"/>
      <c r="E31" s="110"/>
      <c r="F31" s="110"/>
      <c r="G31" s="110"/>
      <c r="H31" s="110"/>
    </row>
    <row r="32" spans="1:8" x14ac:dyDescent="0.35">
      <c r="A32" s="370">
        <v>46327</v>
      </c>
      <c r="B32" s="275" t="s">
        <v>317</v>
      </c>
      <c r="C32" s="275"/>
      <c r="D32" s="275"/>
      <c r="E32" s="275"/>
      <c r="F32" s="275"/>
      <c r="G32" s="275"/>
      <c r="H32" s="275"/>
    </row>
    <row r="33" spans="1:8" x14ac:dyDescent="0.35">
      <c r="A33" s="369"/>
      <c r="B33" s="184" t="s">
        <v>318</v>
      </c>
      <c r="C33" s="184"/>
      <c r="D33" s="184"/>
      <c r="E33" s="184"/>
      <c r="F33" s="184"/>
      <c r="G33" s="184"/>
      <c r="H33" s="184"/>
    </row>
    <row r="34" spans="1:8" ht="15" thickBot="1" x14ac:dyDescent="0.4">
      <c r="A34" s="372"/>
      <c r="B34" s="277" t="s">
        <v>319</v>
      </c>
      <c r="C34" s="277"/>
      <c r="D34" s="277"/>
      <c r="E34" s="277"/>
      <c r="F34" s="277"/>
      <c r="G34" s="277"/>
      <c r="H34" s="277"/>
    </row>
    <row r="35" spans="1:8" x14ac:dyDescent="0.35">
      <c r="A35" s="369">
        <v>46357</v>
      </c>
      <c r="B35" s="273" t="s">
        <v>317</v>
      </c>
      <c r="C35" s="273"/>
      <c r="D35" s="273"/>
      <c r="E35" s="273"/>
      <c r="F35" s="273"/>
      <c r="G35" s="273"/>
      <c r="H35" s="273"/>
    </row>
    <row r="36" spans="1:8" x14ac:dyDescent="0.35">
      <c r="A36" s="369"/>
      <c r="B36" s="184" t="s">
        <v>318</v>
      </c>
      <c r="C36" s="184"/>
      <c r="D36" s="184"/>
      <c r="E36" s="184"/>
      <c r="F36" s="184"/>
      <c r="G36" s="184"/>
      <c r="H36" s="184"/>
    </row>
    <row r="37" spans="1:8" ht="15" thickBot="1" x14ac:dyDescent="0.4">
      <c r="A37" s="369"/>
      <c r="B37" s="110" t="s">
        <v>319</v>
      </c>
      <c r="C37" s="110"/>
      <c r="D37" s="110"/>
      <c r="E37" s="110"/>
      <c r="F37" s="110"/>
      <c r="G37" s="110"/>
      <c r="H37" s="110"/>
    </row>
    <row r="38" spans="1:8" ht="15" thickTop="1" x14ac:dyDescent="0.35">
      <c r="A38" s="375" t="s">
        <v>281</v>
      </c>
      <c r="B38" s="292" t="s">
        <v>317</v>
      </c>
      <c r="C38" s="292">
        <f>SUM(C29,C32,C35)</f>
        <v>0</v>
      </c>
      <c r="D38" s="292">
        <f t="shared" ref="D38:G38" si="7">SUM(D29,D32,D35)</f>
        <v>0</v>
      </c>
      <c r="E38" s="292">
        <f t="shared" si="7"/>
        <v>0</v>
      </c>
      <c r="F38" s="292"/>
      <c r="G38" s="292">
        <f t="shared" si="7"/>
        <v>0</v>
      </c>
      <c r="H38" s="292"/>
    </row>
    <row r="39" spans="1:8" x14ac:dyDescent="0.35">
      <c r="A39" s="326"/>
      <c r="B39" s="294" t="s">
        <v>318</v>
      </c>
      <c r="C39" s="294">
        <f>SUM(C30,C33,C36)</f>
        <v>0</v>
      </c>
      <c r="D39" s="294">
        <f t="shared" ref="D39:G39" si="8">SUM(D30,D33,D36)</f>
        <v>0</v>
      </c>
      <c r="E39" s="294">
        <f t="shared" si="8"/>
        <v>0</v>
      </c>
      <c r="F39" s="294"/>
      <c r="G39" s="294">
        <f t="shared" si="8"/>
        <v>0</v>
      </c>
      <c r="H39" s="294"/>
    </row>
    <row r="40" spans="1:8" ht="15" thickBot="1" x14ac:dyDescent="0.4">
      <c r="A40" s="381"/>
      <c r="B40" s="298" t="s">
        <v>319</v>
      </c>
      <c r="C40" s="298">
        <f>SUM(C31,C34,C37)</f>
        <v>0</v>
      </c>
      <c r="D40" s="298">
        <f t="shared" ref="D40:G40" si="9">SUM(D31,D34,D37)</f>
        <v>0</v>
      </c>
      <c r="E40" s="298">
        <f t="shared" si="9"/>
        <v>0</v>
      </c>
      <c r="F40" s="298"/>
      <c r="G40" s="298">
        <f t="shared" si="9"/>
        <v>0</v>
      </c>
      <c r="H40" s="298"/>
    </row>
    <row r="41" spans="1:8" ht="15" thickTop="1" x14ac:dyDescent="0.35">
      <c r="A41" s="375" t="s">
        <v>280</v>
      </c>
      <c r="B41" s="292" t="s">
        <v>317</v>
      </c>
      <c r="C41" s="292">
        <f>SUM(C38+C26)</f>
        <v>14000</v>
      </c>
      <c r="D41" s="292">
        <f t="shared" ref="D41:G41" si="10">SUM(D38+D26)</f>
        <v>580</v>
      </c>
      <c r="E41" s="292">
        <f t="shared" si="10"/>
        <v>6000</v>
      </c>
      <c r="F41" s="292"/>
      <c r="G41" s="292">
        <f t="shared" si="10"/>
        <v>-285</v>
      </c>
      <c r="H41" s="292"/>
    </row>
    <row r="42" spans="1:8" x14ac:dyDescent="0.35">
      <c r="A42" s="326"/>
      <c r="B42" s="294" t="s">
        <v>318</v>
      </c>
      <c r="C42" s="294">
        <f>SUM(C39,C27)</f>
        <v>9000</v>
      </c>
      <c r="D42" s="294">
        <f t="shared" ref="D42:G42" si="11">SUM(D39,D27)</f>
        <v>210</v>
      </c>
      <c r="E42" s="294">
        <f t="shared" si="11"/>
        <v>3900</v>
      </c>
      <c r="F42" s="294"/>
      <c r="G42" s="294">
        <f t="shared" si="11"/>
        <v>-88</v>
      </c>
      <c r="H42" s="294"/>
    </row>
    <row r="43" spans="1:8" ht="15" thickBot="1" x14ac:dyDescent="0.4">
      <c r="A43" s="381"/>
      <c r="B43" s="298" t="s">
        <v>319</v>
      </c>
      <c r="C43" s="298">
        <f>SUM(C40,C28)</f>
        <v>0</v>
      </c>
      <c r="D43" s="298">
        <f t="shared" ref="D43:G43" si="12">SUM(D40,D28)</f>
        <v>0</v>
      </c>
      <c r="E43" s="298">
        <f t="shared" si="12"/>
        <v>1200</v>
      </c>
      <c r="F43" s="298"/>
      <c r="G43" s="298">
        <f t="shared" si="12"/>
        <v>54</v>
      </c>
      <c r="H43" s="298"/>
    </row>
    <row r="44" spans="1:8" ht="15" thickTop="1" x14ac:dyDescent="0.35">
      <c r="A44" s="369">
        <v>46388</v>
      </c>
      <c r="B44" s="273" t="s">
        <v>317</v>
      </c>
      <c r="C44" s="273"/>
      <c r="D44" s="273"/>
      <c r="E44" s="273"/>
      <c r="F44" s="273"/>
      <c r="G44" s="273"/>
      <c r="H44" s="273"/>
    </row>
    <row r="45" spans="1:8" x14ac:dyDescent="0.35">
      <c r="A45" s="369"/>
      <c r="B45" s="184" t="s">
        <v>318</v>
      </c>
      <c r="C45" s="184"/>
      <c r="D45" s="184"/>
      <c r="E45" s="184"/>
      <c r="F45" s="184"/>
      <c r="G45" s="184"/>
      <c r="H45" s="184"/>
    </row>
    <row r="46" spans="1:8" ht="15" thickBot="1" x14ac:dyDescent="0.4">
      <c r="A46" s="369"/>
      <c r="B46" s="110" t="s">
        <v>319</v>
      </c>
      <c r="C46" s="110"/>
      <c r="D46" s="110"/>
      <c r="E46" s="110"/>
      <c r="F46" s="110"/>
      <c r="G46" s="110"/>
      <c r="H46" s="110"/>
    </row>
    <row r="47" spans="1:8" x14ac:dyDescent="0.35">
      <c r="A47" s="370">
        <v>46419</v>
      </c>
      <c r="B47" s="275" t="s">
        <v>317</v>
      </c>
      <c r="C47" s="275"/>
      <c r="D47" s="275"/>
      <c r="E47" s="275"/>
      <c r="F47" s="275"/>
      <c r="G47" s="275"/>
      <c r="H47" s="275"/>
    </row>
    <row r="48" spans="1:8" x14ac:dyDescent="0.35">
      <c r="A48" s="369"/>
      <c r="B48" s="184" t="s">
        <v>318</v>
      </c>
      <c r="C48" s="184"/>
      <c r="D48" s="184"/>
      <c r="E48" s="184"/>
      <c r="F48" s="184"/>
      <c r="G48" s="184"/>
      <c r="H48" s="184"/>
    </row>
    <row r="49" spans="1:8" ht="15" thickBot="1" x14ac:dyDescent="0.4">
      <c r="A49" s="372"/>
      <c r="B49" s="277" t="s">
        <v>319</v>
      </c>
      <c r="C49" s="277"/>
      <c r="D49" s="277"/>
      <c r="E49" s="277"/>
      <c r="F49" s="277"/>
      <c r="G49" s="277"/>
      <c r="H49" s="277"/>
    </row>
    <row r="50" spans="1:8" x14ac:dyDescent="0.35">
      <c r="A50" s="369">
        <v>46447</v>
      </c>
      <c r="B50" s="273" t="s">
        <v>317</v>
      </c>
      <c r="C50" s="273"/>
      <c r="D50" s="273"/>
      <c r="E50" s="273"/>
      <c r="F50" s="273"/>
      <c r="G50" s="273"/>
      <c r="H50" s="273"/>
    </row>
    <row r="51" spans="1:8" x14ac:dyDescent="0.35">
      <c r="A51" s="369"/>
      <c r="B51" s="184" t="s">
        <v>318</v>
      </c>
      <c r="C51" s="184"/>
      <c r="D51" s="184"/>
      <c r="E51" s="184"/>
      <c r="F51" s="184"/>
      <c r="G51" s="184"/>
      <c r="H51" s="184"/>
    </row>
    <row r="52" spans="1:8" ht="15" thickBot="1" x14ac:dyDescent="0.4">
      <c r="A52" s="369"/>
      <c r="B52" s="110" t="s">
        <v>319</v>
      </c>
      <c r="C52" s="110"/>
      <c r="D52" s="110"/>
      <c r="E52" s="110"/>
      <c r="F52" s="110"/>
      <c r="G52" s="110"/>
      <c r="H52" s="110"/>
    </row>
    <row r="53" spans="1:8" ht="15" thickTop="1" x14ac:dyDescent="0.35">
      <c r="A53" s="378" t="s">
        <v>282</v>
      </c>
      <c r="B53" s="292" t="s">
        <v>317</v>
      </c>
      <c r="C53" s="292">
        <f>SUM(C44,C47,C50)</f>
        <v>0</v>
      </c>
      <c r="D53" s="292">
        <f t="shared" ref="D53:G53" si="13">SUM(D44,D47,D50)</f>
        <v>0</v>
      </c>
      <c r="E53" s="292">
        <f t="shared" si="13"/>
        <v>0</v>
      </c>
      <c r="F53" s="292"/>
      <c r="G53" s="292">
        <f t="shared" si="13"/>
        <v>0</v>
      </c>
      <c r="H53" s="292"/>
    </row>
    <row r="54" spans="1:8" x14ac:dyDescent="0.35">
      <c r="A54" s="379"/>
      <c r="B54" s="294" t="s">
        <v>318</v>
      </c>
      <c r="C54" s="294">
        <f>SUM(C45,C48,C51)</f>
        <v>0</v>
      </c>
      <c r="D54" s="294">
        <f t="shared" ref="D54:G54" si="14">SUM(D45,D48,D51)</f>
        <v>0</v>
      </c>
      <c r="E54" s="294">
        <f t="shared" si="14"/>
        <v>0</v>
      </c>
      <c r="F54" s="294"/>
      <c r="G54" s="294">
        <f t="shared" si="14"/>
        <v>0</v>
      </c>
      <c r="H54" s="294"/>
    </row>
    <row r="55" spans="1:8" ht="15" thickBot="1" x14ac:dyDescent="0.4">
      <c r="A55" s="380"/>
      <c r="B55" s="298" t="s">
        <v>319</v>
      </c>
      <c r="C55" s="298">
        <f>SUM(C46,C49,C52)</f>
        <v>0</v>
      </c>
      <c r="D55" s="298">
        <f t="shared" ref="D55:G55" si="15">SUM(D46,D49,D52)</f>
        <v>0</v>
      </c>
      <c r="E55" s="298">
        <f t="shared" si="15"/>
        <v>0</v>
      </c>
      <c r="F55" s="298"/>
      <c r="G55" s="298">
        <f t="shared" si="15"/>
        <v>0</v>
      </c>
      <c r="H55" s="298"/>
    </row>
    <row r="56" spans="1:8" ht="15" thickTop="1" x14ac:dyDescent="0.35">
      <c r="A56" s="376" t="s">
        <v>280</v>
      </c>
      <c r="B56" s="299" t="s">
        <v>317</v>
      </c>
      <c r="C56" s="299">
        <f>SUM(C53+C41)</f>
        <v>14000</v>
      </c>
      <c r="D56" s="299">
        <f t="shared" ref="D56:G56" si="16">SUM(D53+D41)</f>
        <v>580</v>
      </c>
      <c r="E56" s="299">
        <f t="shared" si="16"/>
        <v>6000</v>
      </c>
      <c r="F56" s="299"/>
      <c r="G56" s="299">
        <f t="shared" si="16"/>
        <v>-285</v>
      </c>
      <c r="H56" s="299"/>
    </row>
    <row r="57" spans="1:8" x14ac:dyDescent="0.35">
      <c r="A57" s="343"/>
      <c r="B57" s="294" t="s">
        <v>318</v>
      </c>
      <c r="C57" s="294">
        <f>SUM(C54+C42)</f>
        <v>9000</v>
      </c>
      <c r="D57" s="294">
        <f t="shared" ref="D57:G57" si="17">SUM(D54+D42)</f>
        <v>210</v>
      </c>
      <c r="E57" s="294">
        <f t="shared" si="17"/>
        <v>3900</v>
      </c>
      <c r="F57" s="294"/>
      <c r="G57" s="294">
        <f t="shared" si="17"/>
        <v>-88</v>
      </c>
      <c r="H57" s="294"/>
    </row>
    <row r="58" spans="1:8" ht="15" thickBot="1" x14ac:dyDescent="0.4">
      <c r="A58" s="377"/>
      <c r="B58" s="298" t="s">
        <v>319</v>
      </c>
      <c r="C58" s="298">
        <f>SUM(C55+C43)</f>
        <v>0</v>
      </c>
      <c r="D58" s="298">
        <f t="shared" ref="D58:G58" si="18">SUM(D55+D43)</f>
        <v>0</v>
      </c>
      <c r="E58" s="298">
        <f t="shared" si="18"/>
        <v>1200</v>
      </c>
      <c r="F58" s="298"/>
      <c r="G58" s="298">
        <f t="shared" si="18"/>
        <v>54</v>
      </c>
      <c r="H58" s="298"/>
    </row>
    <row r="59" spans="1:8" ht="15" thickTop="1" x14ac:dyDescent="0.35"/>
  </sheetData>
  <mergeCells count="19">
    <mergeCell ref="A23:A25"/>
    <mergeCell ref="A20:A22"/>
    <mergeCell ref="A41:A43"/>
    <mergeCell ref="A38:A40"/>
    <mergeCell ref="A35:A37"/>
    <mergeCell ref="A32:A34"/>
    <mergeCell ref="A29:A31"/>
    <mergeCell ref="A26:A28"/>
    <mergeCell ref="A56:A58"/>
    <mergeCell ref="A53:A55"/>
    <mergeCell ref="A50:A52"/>
    <mergeCell ref="A47:A49"/>
    <mergeCell ref="A44:A46"/>
    <mergeCell ref="A17:A19"/>
    <mergeCell ref="A2:A4"/>
    <mergeCell ref="A5:A7"/>
    <mergeCell ref="A8:A10"/>
    <mergeCell ref="A11:A13"/>
    <mergeCell ref="A14:A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55335-50C4-4F94-8C16-F658F987B9D1}">
  <dimension ref="A1:E53"/>
  <sheetViews>
    <sheetView topLeftCell="A37" zoomScale="91" zoomScaleNormal="91" workbookViewId="0">
      <selection activeCell="C50" sqref="C50:C53"/>
    </sheetView>
  </sheetViews>
  <sheetFormatPr defaultRowHeight="14.5" x14ac:dyDescent="0.35"/>
  <sheetData>
    <row r="1" spans="1:5" x14ac:dyDescent="0.35">
      <c r="A1" s="2" t="s">
        <v>321</v>
      </c>
    </row>
    <row r="2" spans="1:5" x14ac:dyDescent="0.35">
      <c r="A2" t="s">
        <v>322</v>
      </c>
    </row>
    <row r="3" spans="1:5" x14ac:dyDescent="0.35">
      <c r="B3" t="s">
        <v>323</v>
      </c>
      <c r="C3" t="s">
        <v>324</v>
      </c>
      <c r="D3" t="s">
        <v>325</v>
      </c>
      <c r="E3" t="s">
        <v>324</v>
      </c>
    </row>
    <row r="4" spans="1:5" x14ac:dyDescent="0.35">
      <c r="A4" t="s">
        <v>278</v>
      </c>
      <c r="B4">
        <v>900</v>
      </c>
      <c r="C4">
        <f>B4</f>
        <v>900</v>
      </c>
      <c r="D4">
        <v>1087</v>
      </c>
      <c r="E4">
        <f>D4</f>
        <v>1087</v>
      </c>
    </row>
    <row r="5" spans="1:5" x14ac:dyDescent="0.35">
      <c r="A5" t="s">
        <v>279</v>
      </c>
      <c r="B5">
        <v>500</v>
      </c>
      <c r="C5">
        <f>C4+B5</f>
        <v>1400</v>
      </c>
      <c r="D5">
        <v>4346</v>
      </c>
      <c r="E5">
        <f>D4+D5</f>
        <v>5433</v>
      </c>
    </row>
    <row r="6" spans="1:5" x14ac:dyDescent="0.35">
      <c r="A6" t="s">
        <v>281</v>
      </c>
      <c r="B6">
        <v>900</v>
      </c>
      <c r="C6">
        <f>C5+B6</f>
        <v>2300</v>
      </c>
    </row>
    <row r="7" spans="1:5" x14ac:dyDescent="0.35">
      <c r="A7" t="s">
        <v>282</v>
      </c>
      <c r="B7">
        <v>800</v>
      </c>
      <c r="C7">
        <f>C6+B7</f>
        <v>3100</v>
      </c>
    </row>
    <row r="10" spans="1:5" x14ac:dyDescent="0.35">
      <c r="A10" s="2" t="s">
        <v>326</v>
      </c>
    </row>
    <row r="11" spans="1:5" x14ac:dyDescent="0.35">
      <c r="B11" t="s">
        <v>323</v>
      </c>
      <c r="C11" t="s">
        <v>324</v>
      </c>
      <c r="D11" t="s">
        <v>325</v>
      </c>
      <c r="E11" t="s">
        <v>324</v>
      </c>
    </row>
    <row r="12" spans="1:5" x14ac:dyDescent="0.35">
      <c r="A12" t="s">
        <v>278</v>
      </c>
      <c r="B12">
        <v>900</v>
      </c>
      <c r="C12">
        <f>B12</f>
        <v>900</v>
      </c>
      <c r="D12">
        <v>3000</v>
      </c>
      <c r="E12">
        <f>D12</f>
        <v>3000</v>
      </c>
    </row>
    <row r="13" spans="1:5" x14ac:dyDescent="0.35">
      <c r="A13" t="s">
        <v>279</v>
      </c>
      <c r="B13">
        <v>500</v>
      </c>
      <c r="C13">
        <f>C12+B13</f>
        <v>1400</v>
      </c>
      <c r="D13">
        <v>3000</v>
      </c>
      <c r="E13">
        <f>E12+D13</f>
        <v>6000</v>
      </c>
    </row>
    <row r="14" spans="1:5" x14ac:dyDescent="0.35">
      <c r="A14" t="s">
        <v>281</v>
      </c>
      <c r="B14">
        <v>900</v>
      </c>
      <c r="C14">
        <f>C13+B14</f>
        <v>2300</v>
      </c>
    </row>
    <row r="15" spans="1:5" x14ac:dyDescent="0.35">
      <c r="A15" t="s">
        <v>282</v>
      </c>
      <c r="B15">
        <v>800</v>
      </c>
      <c r="C15">
        <f>C14+B15</f>
        <v>3100</v>
      </c>
    </row>
    <row r="18" spans="1:5" x14ac:dyDescent="0.35">
      <c r="A18" s="2" t="s">
        <v>327</v>
      </c>
    </row>
    <row r="19" spans="1:5" x14ac:dyDescent="0.35">
      <c r="C19" t="s">
        <v>328</v>
      </c>
      <c r="D19" t="s">
        <v>329</v>
      </c>
      <c r="E19" t="s">
        <v>330</v>
      </c>
    </row>
    <row r="20" spans="1:5" x14ac:dyDescent="0.35">
      <c r="A20" t="s">
        <v>331</v>
      </c>
      <c r="B20" t="s">
        <v>278</v>
      </c>
      <c r="C20">
        <v>7</v>
      </c>
      <c r="D20">
        <v>1000</v>
      </c>
      <c r="E20">
        <f>D20</f>
        <v>1000</v>
      </c>
    </row>
    <row r="21" spans="1:5" x14ac:dyDescent="0.35">
      <c r="B21" t="s">
        <v>279</v>
      </c>
      <c r="C21">
        <f>D21-D20</f>
        <v>1000</v>
      </c>
      <c r="D21">
        <v>2000</v>
      </c>
      <c r="E21">
        <f>E20+D21</f>
        <v>3000</v>
      </c>
    </row>
    <row r="22" spans="1:5" x14ac:dyDescent="0.35">
      <c r="B22" t="s">
        <v>281</v>
      </c>
      <c r="C22">
        <f>D22-D21</f>
        <v>1000</v>
      </c>
      <c r="D22">
        <v>3000</v>
      </c>
      <c r="E22">
        <f>E21+D22</f>
        <v>6000</v>
      </c>
    </row>
    <row r="23" spans="1:5" x14ac:dyDescent="0.35">
      <c r="B23" t="s">
        <v>282</v>
      </c>
      <c r="C23">
        <f>D23-D22</f>
        <v>1000</v>
      </c>
      <c r="D23">
        <v>4000</v>
      </c>
      <c r="E23">
        <f>E22+D23</f>
        <v>10000</v>
      </c>
    </row>
    <row r="24" spans="1:5" x14ac:dyDescent="0.35">
      <c r="A24" t="s">
        <v>332</v>
      </c>
      <c r="B24" t="s">
        <v>278</v>
      </c>
      <c r="C24">
        <f>D24-D23</f>
        <v>500</v>
      </c>
      <c r="D24">
        <v>4500</v>
      </c>
      <c r="E24">
        <f>E23+D24</f>
        <v>14500</v>
      </c>
    </row>
    <row r="25" spans="1:5" x14ac:dyDescent="0.35">
      <c r="B25" t="s">
        <v>279</v>
      </c>
      <c r="C25">
        <v>177</v>
      </c>
      <c r="D25">
        <v>5000</v>
      </c>
      <c r="E25">
        <f>E24+D25</f>
        <v>19500</v>
      </c>
    </row>
    <row r="28" spans="1:5" x14ac:dyDescent="0.35">
      <c r="A28" s="2" t="s">
        <v>333</v>
      </c>
    </row>
    <row r="29" spans="1:5" x14ac:dyDescent="0.35">
      <c r="A29" t="s">
        <v>334</v>
      </c>
      <c r="B29" t="s">
        <v>335</v>
      </c>
      <c r="C29" t="s">
        <v>336</v>
      </c>
      <c r="D29" t="s">
        <v>337</v>
      </c>
    </row>
    <row r="30" spans="1:5" x14ac:dyDescent="0.35">
      <c r="A30" t="s">
        <v>331</v>
      </c>
      <c r="B30" t="s">
        <v>278</v>
      </c>
    </row>
    <row r="31" spans="1:5" x14ac:dyDescent="0.35">
      <c r="A31" t="s">
        <v>331</v>
      </c>
      <c r="B31" t="s">
        <v>279</v>
      </c>
    </row>
    <row r="32" spans="1:5" x14ac:dyDescent="0.35">
      <c r="A32" t="s">
        <v>331</v>
      </c>
      <c r="B32" t="s">
        <v>281</v>
      </c>
      <c r="C32">
        <v>50</v>
      </c>
      <c r="D32">
        <f>C32</f>
        <v>50</v>
      </c>
    </row>
    <row r="33" spans="1:4" x14ac:dyDescent="0.35">
      <c r="B33" t="s">
        <v>282</v>
      </c>
      <c r="C33">
        <v>50</v>
      </c>
      <c r="D33">
        <f>D32+C33</f>
        <v>100</v>
      </c>
    </row>
    <row r="34" spans="1:4" x14ac:dyDescent="0.35">
      <c r="A34" t="s">
        <v>332</v>
      </c>
      <c r="B34" t="s">
        <v>278</v>
      </c>
      <c r="C34">
        <v>50</v>
      </c>
      <c r="D34">
        <f>D33+C34</f>
        <v>150</v>
      </c>
    </row>
    <row r="35" spans="1:4" x14ac:dyDescent="0.35">
      <c r="B35" t="s">
        <v>279</v>
      </c>
      <c r="C35">
        <v>50</v>
      </c>
      <c r="D35">
        <f>D34+C35</f>
        <v>200</v>
      </c>
    </row>
    <row r="37" spans="1:4" x14ac:dyDescent="0.35">
      <c r="A37" s="2" t="s">
        <v>290</v>
      </c>
    </row>
    <row r="38" spans="1:4" x14ac:dyDescent="0.35">
      <c r="A38" t="s">
        <v>334</v>
      </c>
      <c r="B38" t="s">
        <v>335</v>
      </c>
      <c r="C38" t="s">
        <v>338</v>
      </c>
      <c r="D38" t="s">
        <v>339</v>
      </c>
    </row>
    <row r="39" spans="1:4" x14ac:dyDescent="0.35">
      <c r="A39" t="s">
        <v>331</v>
      </c>
      <c r="B39" t="s">
        <v>278</v>
      </c>
      <c r="C39">
        <v>50</v>
      </c>
      <c r="D39">
        <f>C39</f>
        <v>50</v>
      </c>
    </row>
    <row r="40" spans="1:4" x14ac:dyDescent="0.35">
      <c r="B40" t="s">
        <v>279</v>
      </c>
      <c r="C40">
        <v>50</v>
      </c>
      <c r="D40">
        <f>D39+C40</f>
        <v>100</v>
      </c>
    </row>
    <row r="41" spans="1:4" x14ac:dyDescent="0.35">
      <c r="B41" t="s">
        <v>281</v>
      </c>
      <c r="C41">
        <v>50</v>
      </c>
      <c r="D41">
        <f>D40+C41</f>
        <v>150</v>
      </c>
    </row>
    <row r="42" spans="1:4" x14ac:dyDescent="0.35">
      <c r="B42" t="s">
        <v>282</v>
      </c>
      <c r="C42">
        <v>50</v>
      </c>
      <c r="D42">
        <f>D41+C42</f>
        <v>200</v>
      </c>
    </row>
    <row r="43" spans="1:4" x14ac:dyDescent="0.35">
      <c r="A43" t="s">
        <v>332</v>
      </c>
      <c r="B43" t="s">
        <v>278</v>
      </c>
      <c r="C43">
        <v>50</v>
      </c>
      <c r="D43">
        <f>D42+C43</f>
        <v>250</v>
      </c>
    </row>
    <row r="44" spans="1:4" x14ac:dyDescent="0.35">
      <c r="B44" t="s">
        <v>279</v>
      </c>
      <c r="C44">
        <v>50</v>
      </c>
      <c r="D44">
        <f>D43+C44</f>
        <v>300</v>
      </c>
    </row>
    <row r="46" spans="1:4" x14ac:dyDescent="0.35">
      <c r="A46" s="2" t="s">
        <v>340</v>
      </c>
    </row>
    <row r="47" spans="1:4" x14ac:dyDescent="0.35">
      <c r="A47" t="s">
        <v>334</v>
      </c>
      <c r="B47" t="s">
        <v>335</v>
      </c>
      <c r="C47" t="s">
        <v>340</v>
      </c>
      <c r="D47" t="s">
        <v>341</v>
      </c>
    </row>
    <row r="48" spans="1:4" x14ac:dyDescent="0.35">
      <c r="A48" t="s">
        <v>331</v>
      </c>
      <c r="B48" t="s">
        <v>278</v>
      </c>
    </row>
    <row r="49" spans="1:4" x14ac:dyDescent="0.35">
      <c r="B49" t="s">
        <v>279</v>
      </c>
    </row>
    <row r="50" spans="1:4" x14ac:dyDescent="0.35">
      <c r="A50" t="s">
        <v>331</v>
      </c>
      <c r="B50" t="s">
        <v>281</v>
      </c>
      <c r="C50">
        <v>50</v>
      </c>
      <c r="D50">
        <f>C50</f>
        <v>50</v>
      </c>
    </row>
    <row r="51" spans="1:4" x14ac:dyDescent="0.35">
      <c r="B51" t="s">
        <v>282</v>
      </c>
      <c r="C51">
        <v>50</v>
      </c>
      <c r="D51">
        <f>D50+C51</f>
        <v>100</v>
      </c>
    </row>
    <row r="52" spans="1:4" x14ac:dyDescent="0.35">
      <c r="A52" t="s">
        <v>332</v>
      </c>
      <c r="B52" t="s">
        <v>278</v>
      </c>
      <c r="C52">
        <v>50</v>
      </c>
      <c r="D52">
        <f>D51+C52</f>
        <v>150</v>
      </c>
    </row>
    <row r="53" spans="1:4" x14ac:dyDescent="0.35">
      <c r="B53" t="s">
        <v>279</v>
      </c>
      <c r="C53">
        <v>50</v>
      </c>
      <c r="D53">
        <f>D52+C53</f>
        <v>200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C7804-8A34-4EA1-9388-0A8899A6A4C1}">
  <dimension ref="A1:AQ30"/>
  <sheetViews>
    <sheetView topLeftCell="A26" zoomScale="80" zoomScaleNormal="80" workbookViewId="0">
      <pane xSplit="1" topLeftCell="B1" activePane="topRight" state="frozen"/>
      <selection pane="topRight" activeCell="AQ6" sqref="AQ6"/>
    </sheetView>
  </sheetViews>
  <sheetFormatPr defaultRowHeight="14.5" x14ac:dyDescent="0.35"/>
  <cols>
    <col min="1" max="1" width="32.81640625" bestFit="1" customWidth="1"/>
    <col min="2" max="2" width="15.54296875" style="1" customWidth="1"/>
    <col min="3" max="3" width="12.26953125" style="1" customWidth="1"/>
    <col min="4" max="4" width="20.54296875" style="1" customWidth="1"/>
    <col min="5" max="5" width="8.1796875" style="1" customWidth="1"/>
    <col min="6" max="6" width="12.26953125" style="1" customWidth="1"/>
    <col min="7" max="7" width="20.54296875" style="1" customWidth="1"/>
    <col min="8" max="8" width="6.453125" style="1" customWidth="1"/>
    <col min="9" max="9" width="18.54296875" style="1" customWidth="1"/>
    <col min="10" max="10" width="20.54296875" style="1" customWidth="1"/>
    <col min="11" max="11" width="7.1796875" style="1" customWidth="1"/>
    <col min="12" max="12" width="11.453125" style="1" customWidth="1"/>
    <col min="13" max="13" width="20.54296875" style="1" customWidth="1"/>
    <col min="14" max="14" width="6.54296875" style="1" customWidth="1"/>
    <col min="15" max="15" width="10.81640625" style="1" bestFit="1" customWidth="1"/>
    <col min="16" max="16" width="20.54296875" style="1" customWidth="1"/>
    <col min="17" max="17" width="7" style="1" customWidth="1"/>
    <col min="18" max="18" width="11.54296875" style="1" customWidth="1"/>
    <col min="19" max="19" width="20.54296875" style="1" customWidth="1"/>
    <col min="20" max="20" width="6.54296875" style="1" customWidth="1"/>
    <col min="21" max="21" width="20.54296875" style="1" customWidth="1"/>
    <col min="22" max="22" width="6.54296875" style="1" hidden="1" customWidth="1"/>
    <col min="23" max="23" width="10.54296875" style="1" customWidth="1"/>
    <col min="24" max="24" width="20.54296875" style="1" customWidth="1"/>
    <col min="25" max="25" width="6" style="1" hidden="1" customWidth="1"/>
    <col min="26" max="26" width="10.54296875" style="1" customWidth="1"/>
    <col min="27" max="27" width="20.54296875" style="1" customWidth="1"/>
    <col min="28" max="28" width="9.1796875" style="1" customWidth="1"/>
    <col min="29" max="29" width="10.54296875" style="1" customWidth="1"/>
    <col min="30" max="30" width="15.54296875" style="1" customWidth="1"/>
    <col min="31" max="31" width="7.26953125" style="1" customWidth="1"/>
    <col min="32" max="32" width="15.54296875" style="1" customWidth="1"/>
    <col min="33" max="34" width="11.54296875" style="1" customWidth="1"/>
    <col min="35" max="35" width="15.54296875" style="1" customWidth="1"/>
    <col min="36" max="36" width="9" style="1" bestFit="1" customWidth="1"/>
    <col min="37" max="37" width="10.54296875" style="1" customWidth="1"/>
    <col min="38" max="38" width="15.54296875" style="1" customWidth="1"/>
    <col min="39" max="40" width="7.453125" style="1" customWidth="1"/>
  </cols>
  <sheetData>
    <row r="1" spans="1:43" ht="29" x14ac:dyDescent="0.35">
      <c r="A1" s="15" t="s">
        <v>94</v>
      </c>
      <c r="B1" s="85">
        <v>45748</v>
      </c>
      <c r="C1" s="85" t="s">
        <v>330</v>
      </c>
      <c r="D1" s="85">
        <v>45778</v>
      </c>
      <c r="E1" s="85" t="s">
        <v>342</v>
      </c>
      <c r="F1" s="85" t="s">
        <v>330</v>
      </c>
      <c r="G1" s="85">
        <v>45809</v>
      </c>
      <c r="H1" s="85" t="s">
        <v>342</v>
      </c>
      <c r="I1" s="86" t="s">
        <v>278</v>
      </c>
      <c r="J1" s="85">
        <v>45839</v>
      </c>
      <c r="K1" s="85" t="s">
        <v>342</v>
      </c>
      <c r="L1" s="85" t="s">
        <v>330</v>
      </c>
      <c r="M1" s="85">
        <v>45870</v>
      </c>
      <c r="N1" s="85" t="s">
        <v>342</v>
      </c>
      <c r="O1" s="85" t="s">
        <v>330</v>
      </c>
      <c r="P1" s="85">
        <v>45901</v>
      </c>
      <c r="Q1" s="85" t="s">
        <v>342</v>
      </c>
      <c r="R1" s="85" t="s">
        <v>330</v>
      </c>
      <c r="S1" s="86" t="s">
        <v>279</v>
      </c>
      <c r="T1" s="86" t="s">
        <v>343</v>
      </c>
      <c r="U1" s="87">
        <v>45931</v>
      </c>
      <c r="V1" s="85" t="s">
        <v>342</v>
      </c>
      <c r="W1" s="85" t="s">
        <v>330</v>
      </c>
      <c r="X1" s="87">
        <v>45962</v>
      </c>
      <c r="Y1" s="85" t="s">
        <v>342</v>
      </c>
      <c r="Z1" s="85" t="s">
        <v>330</v>
      </c>
      <c r="AA1" s="87">
        <v>45992</v>
      </c>
      <c r="AB1" s="85" t="s">
        <v>342</v>
      </c>
      <c r="AC1" s="85" t="s">
        <v>330</v>
      </c>
      <c r="AD1" s="86" t="s">
        <v>281</v>
      </c>
      <c r="AE1" s="86" t="s">
        <v>344</v>
      </c>
      <c r="AF1" s="88">
        <v>46023</v>
      </c>
      <c r="AG1" s="85" t="s">
        <v>342</v>
      </c>
      <c r="AH1" s="85" t="s">
        <v>330</v>
      </c>
      <c r="AI1" s="88">
        <v>46054</v>
      </c>
      <c r="AJ1" s="85" t="s">
        <v>342</v>
      </c>
      <c r="AK1" s="85" t="s">
        <v>330</v>
      </c>
      <c r="AL1" s="88">
        <v>46082</v>
      </c>
      <c r="AM1" s="85" t="s">
        <v>342</v>
      </c>
      <c r="AN1" s="85" t="s">
        <v>330</v>
      </c>
      <c r="AO1" s="218" t="s">
        <v>282</v>
      </c>
      <c r="AP1" s="218" t="s">
        <v>345</v>
      </c>
      <c r="AQ1" t="s">
        <v>346</v>
      </c>
    </row>
    <row r="2" spans="1:43" x14ac:dyDescent="0.35">
      <c r="A2" s="89" t="s">
        <v>347</v>
      </c>
      <c r="B2" s="9">
        <v>300</v>
      </c>
      <c r="C2" s="141">
        <f>B2</f>
        <v>300</v>
      </c>
      <c r="D2" s="9">
        <v>300</v>
      </c>
      <c r="E2" s="90">
        <f>(D2-B2)/B2</f>
        <v>0</v>
      </c>
      <c r="F2" s="141">
        <f>D2+B2</f>
        <v>600</v>
      </c>
      <c r="G2" s="9">
        <v>300</v>
      </c>
      <c r="H2" s="91">
        <f>(G2-D2)/D2</f>
        <v>0</v>
      </c>
      <c r="I2" s="9">
        <f>B2+D2+G2</f>
        <v>900</v>
      </c>
      <c r="J2" s="9">
        <v>300</v>
      </c>
      <c r="K2" s="91">
        <f>(J2-G2)/G2</f>
        <v>0</v>
      </c>
      <c r="L2" s="142">
        <f>J2+I2</f>
        <v>1200</v>
      </c>
      <c r="M2" s="9">
        <v>300</v>
      </c>
      <c r="N2" s="91">
        <f>(M2-J2)/J2</f>
        <v>0</v>
      </c>
      <c r="O2" s="142">
        <f>M2+L2</f>
        <v>1500</v>
      </c>
      <c r="P2" s="9">
        <v>300</v>
      </c>
      <c r="Q2" s="92">
        <f>(P2-M2)/M2</f>
        <v>0</v>
      </c>
      <c r="R2" s="142">
        <f>P2+O2</f>
        <v>1800</v>
      </c>
      <c r="S2" s="9">
        <v>300</v>
      </c>
      <c r="T2" s="91">
        <f>(S2-I2)/I2</f>
        <v>-0.66666666666666663</v>
      </c>
      <c r="U2" s="9">
        <v>300</v>
      </c>
      <c r="V2" s="92">
        <f>(U2-P2)/P2</f>
        <v>0</v>
      </c>
      <c r="W2" s="142">
        <f>U2+R2</f>
        <v>2100</v>
      </c>
      <c r="X2" s="9">
        <v>300</v>
      </c>
      <c r="Y2" s="92">
        <f>(X2-U2)/U2</f>
        <v>0</v>
      </c>
      <c r="Z2" s="142">
        <f>X2+W2</f>
        <v>2400</v>
      </c>
      <c r="AA2" s="9">
        <v>300</v>
      </c>
      <c r="AB2" s="90">
        <f>(AA2-X2)/X2</f>
        <v>0</v>
      </c>
      <c r="AC2" s="142">
        <f>AA2+Z2</f>
        <v>2700</v>
      </c>
      <c r="AD2" s="9">
        <v>300</v>
      </c>
      <c r="AE2" s="92">
        <f>(AD2-S2)/S2</f>
        <v>0</v>
      </c>
      <c r="AF2" s="9">
        <v>300</v>
      </c>
      <c r="AG2" s="138">
        <f>(AF2-AA2)/AA2</f>
        <v>0</v>
      </c>
      <c r="AH2" s="141">
        <f>AF2+AC2</f>
        <v>3000</v>
      </c>
      <c r="AI2" s="9">
        <v>400</v>
      </c>
      <c r="AJ2" s="90">
        <f>(AI2-AF2)/AF2</f>
        <v>0.33333333333333331</v>
      </c>
      <c r="AK2" s="142">
        <f>AI2+AH2</f>
        <v>3400</v>
      </c>
      <c r="AL2" s="9">
        <v>400</v>
      </c>
      <c r="AM2" s="141">
        <f>AL2+AK2</f>
        <v>3800</v>
      </c>
      <c r="AN2" s="141">
        <f>(AL2+AK2)</f>
        <v>3800</v>
      </c>
      <c r="AO2" s="5">
        <f>SUM(AF2,AI2,AL2)</f>
        <v>1100</v>
      </c>
      <c r="AP2" s="5"/>
      <c r="AQ2">
        <f>SUM(B2,D2,G2,J2,M2,P2,U2,X2,AA2,AF2,AI2,AL2)</f>
        <v>3800</v>
      </c>
    </row>
    <row r="3" spans="1:43" x14ac:dyDescent="0.35">
      <c r="A3" s="89" t="s">
        <v>348</v>
      </c>
      <c r="B3" s="9">
        <v>350</v>
      </c>
      <c r="C3" s="140"/>
      <c r="D3" s="9">
        <v>350</v>
      </c>
      <c r="E3" s="91">
        <f>(D3-B3)/B3</f>
        <v>0</v>
      </c>
      <c r="F3" s="140"/>
      <c r="G3" s="9">
        <v>350</v>
      </c>
      <c r="H3" s="91">
        <f>(G3-D3)/D3</f>
        <v>0</v>
      </c>
      <c r="I3" s="9">
        <f>G3+D3+B3</f>
        <v>1050</v>
      </c>
      <c r="J3" s="9">
        <v>350</v>
      </c>
      <c r="K3" s="91">
        <f>(J3-G3)/G3</f>
        <v>0</v>
      </c>
      <c r="L3" s="95"/>
      <c r="M3" s="9">
        <v>350</v>
      </c>
      <c r="N3" s="92">
        <f>(M3-J3)/J3</f>
        <v>0</v>
      </c>
      <c r="O3" s="95"/>
      <c r="P3" s="9">
        <v>350</v>
      </c>
      <c r="Q3" s="92">
        <f>(P3-M3)/M3</f>
        <v>0</v>
      </c>
      <c r="R3" s="95"/>
      <c r="S3" s="9">
        <v>350</v>
      </c>
      <c r="T3" s="91">
        <f>(S3-I3)/I3</f>
        <v>-0.66666666666666663</v>
      </c>
      <c r="U3" s="9">
        <v>350</v>
      </c>
      <c r="V3" s="92">
        <f>(U3-P3)/P3</f>
        <v>0</v>
      </c>
      <c r="W3" s="96">
        <f>SUM(U3,P3,M3,J3,G3,D3,B3)</f>
        <v>2450</v>
      </c>
      <c r="X3" s="9">
        <v>350</v>
      </c>
      <c r="Y3" s="92">
        <f>(X3-U3)/U3</f>
        <v>0</v>
      </c>
      <c r="Z3" s="96">
        <f>SUM(X3+W3)</f>
        <v>2800</v>
      </c>
      <c r="AA3" s="9">
        <v>350</v>
      </c>
      <c r="AB3" s="91">
        <f>(AA3-X3)/X3</f>
        <v>0</v>
      </c>
      <c r="AC3" s="96">
        <f>SUM(AA3+Z3)</f>
        <v>3150</v>
      </c>
      <c r="AD3" s="9">
        <v>350</v>
      </c>
      <c r="AE3" s="92">
        <f>(AD3-S3)/S3</f>
        <v>0</v>
      </c>
      <c r="AF3" s="9">
        <v>350</v>
      </c>
      <c r="AG3" s="92">
        <f>(AF3-AA3)/AA3</f>
        <v>0</v>
      </c>
      <c r="AH3" s="96">
        <f>AF3+AC3</f>
        <v>3500</v>
      </c>
      <c r="AI3" s="9">
        <v>400</v>
      </c>
      <c r="AJ3" s="91">
        <f>(AI3-AF3)/AF3</f>
        <v>0.14285714285714285</v>
      </c>
      <c r="AK3" s="96">
        <f>SUM(AI3+AH3)</f>
        <v>3900</v>
      </c>
      <c r="AL3" s="9">
        <v>400</v>
      </c>
      <c r="AM3" s="9">
        <f>AL3+AK3</f>
        <v>4300</v>
      </c>
      <c r="AN3" s="141">
        <f>(AL3+AK3)</f>
        <v>4300</v>
      </c>
      <c r="AO3" s="5">
        <f>SUM(AF3,AI3,AL3)</f>
        <v>1150</v>
      </c>
      <c r="AP3" s="5"/>
    </row>
    <row r="4" spans="1:43" x14ac:dyDescent="0.35">
      <c r="A4" s="89" t="s">
        <v>349</v>
      </c>
      <c r="B4" s="9">
        <f>B2-B3</f>
        <v>-50</v>
      </c>
      <c r="C4" s="95"/>
      <c r="D4" s="9">
        <f>D2-D3</f>
        <v>-50</v>
      </c>
      <c r="E4" s="93"/>
      <c r="F4" s="95"/>
      <c r="G4" s="9">
        <f>G2-G3</f>
        <v>-50</v>
      </c>
      <c r="H4" s="9"/>
      <c r="I4" s="9">
        <f>I2-I3</f>
        <v>-150</v>
      </c>
      <c r="J4" s="9">
        <f>J2-J3</f>
        <v>-50</v>
      </c>
      <c r="K4" s="9"/>
      <c r="L4" s="9"/>
      <c r="M4" s="9">
        <f>M2-M3</f>
        <v>-50</v>
      </c>
      <c r="N4" s="9"/>
      <c r="O4" s="9"/>
      <c r="P4" s="9">
        <f>P2-P3</f>
        <v>-50</v>
      </c>
      <c r="Q4" s="9"/>
      <c r="R4" s="9"/>
      <c r="S4" s="9">
        <f>S2-S3</f>
        <v>-50</v>
      </c>
      <c r="T4" s="9"/>
      <c r="U4" s="9">
        <f>U2-U3</f>
        <v>-50</v>
      </c>
      <c r="V4" s="9"/>
      <c r="W4" s="9"/>
      <c r="X4" s="9">
        <f>X2-X3</f>
        <v>-50</v>
      </c>
      <c r="Y4" s="9"/>
      <c r="Z4" s="9"/>
      <c r="AA4" s="9">
        <f>AA2-AA3</f>
        <v>-50</v>
      </c>
      <c r="AB4" s="9"/>
      <c r="AC4" s="9"/>
      <c r="AD4" s="9">
        <f>AD2-AD3</f>
        <v>-50</v>
      </c>
      <c r="AE4" s="9"/>
      <c r="AF4" s="9">
        <v>200</v>
      </c>
      <c r="AG4" s="138">
        <v>0.39</v>
      </c>
      <c r="AH4" s="139"/>
      <c r="AI4" s="9">
        <f>AI2-AI3</f>
        <v>0</v>
      </c>
      <c r="AJ4" s="9"/>
      <c r="AK4" s="9"/>
      <c r="AL4" s="9">
        <f>AL2-AL3</f>
        <v>0</v>
      </c>
      <c r="AM4" s="9"/>
      <c r="AN4" s="9"/>
      <c r="AO4" s="5"/>
      <c r="AP4" s="5"/>
    </row>
    <row r="5" spans="1:43" x14ac:dyDescent="0.35">
      <c r="A5" s="89" t="s">
        <v>350</v>
      </c>
      <c r="B5" s="93">
        <f>B4/B2</f>
        <v>-0.16666666666666666</v>
      </c>
      <c r="C5" s="95"/>
      <c r="D5" s="93">
        <f>D4/D2</f>
        <v>-0.16666666666666666</v>
      </c>
      <c r="E5" s="93"/>
      <c r="F5" s="95"/>
      <c r="G5" s="93">
        <f>G4/G2</f>
        <v>-0.16666666666666666</v>
      </c>
      <c r="H5" s="9"/>
      <c r="I5" s="93">
        <f>I4/I2</f>
        <v>-0.16666666666666666</v>
      </c>
      <c r="J5" s="93">
        <f>J4/J2</f>
        <v>-0.16666666666666666</v>
      </c>
      <c r="K5" s="9"/>
      <c r="L5" s="9"/>
      <c r="M5" s="93">
        <f>M4/M2</f>
        <v>-0.16666666666666666</v>
      </c>
      <c r="N5" s="9"/>
      <c r="O5" s="9"/>
      <c r="P5" s="93">
        <f>P4/P2</f>
        <v>-0.16666666666666666</v>
      </c>
      <c r="Q5" s="9"/>
      <c r="R5" s="9"/>
      <c r="S5" s="93">
        <f>S4/S2</f>
        <v>-0.16666666666666666</v>
      </c>
      <c r="T5" s="9"/>
      <c r="U5" s="93">
        <f>U4/U2</f>
        <v>-0.16666666666666666</v>
      </c>
      <c r="V5" s="9"/>
      <c r="W5" s="9"/>
      <c r="X5" s="93">
        <f>X4/X2</f>
        <v>-0.16666666666666666</v>
      </c>
      <c r="Y5" s="9"/>
      <c r="Z5" s="9"/>
      <c r="AA5" s="93">
        <f>AA4/AA2</f>
        <v>-0.16666666666666666</v>
      </c>
      <c r="AB5" s="9"/>
      <c r="AC5" s="9"/>
      <c r="AD5" s="93">
        <f>AD4/AD2</f>
        <v>-0.16666666666666666</v>
      </c>
      <c r="AE5" s="9"/>
      <c r="AF5" s="93">
        <f>AF4/AF2</f>
        <v>0.66666666666666663</v>
      </c>
      <c r="AG5" s="90">
        <v>-0.06</v>
      </c>
      <c r="AH5" s="139"/>
      <c r="AI5" s="93">
        <f>AI4/AI2</f>
        <v>0</v>
      </c>
      <c r="AJ5" s="9"/>
      <c r="AK5" s="9"/>
      <c r="AL5" s="93">
        <f>AL4/AL2</f>
        <v>0</v>
      </c>
      <c r="AM5" s="9"/>
      <c r="AN5" s="9"/>
      <c r="AO5" s="5"/>
      <c r="AP5" s="5"/>
    </row>
    <row r="6" spans="1:43" x14ac:dyDescent="0.35">
      <c r="A6" s="89" t="s">
        <v>351</v>
      </c>
      <c r="B6" s="9">
        <v>510</v>
      </c>
      <c r="C6" s="142">
        <f>B6</f>
        <v>510</v>
      </c>
      <c r="D6" s="9">
        <v>518</v>
      </c>
      <c r="E6" s="92">
        <f>(D6-B6)/B6</f>
        <v>1.5686274509803921E-2</v>
      </c>
      <c r="F6" s="142">
        <f>C6+D6</f>
        <v>1028</v>
      </c>
      <c r="G6" s="9">
        <v>383</v>
      </c>
      <c r="H6" s="91">
        <f>(G6-D6)/D6</f>
        <v>-0.2606177606177606</v>
      </c>
      <c r="I6" s="9">
        <v>1411</v>
      </c>
      <c r="J6" s="9">
        <v>335</v>
      </c>
      <c r="K6" s="91">
        <f>(J6-G6)/G6</f>
        <v>-0.12532637075718014</v>
      </c>
      <c r="L6" s="142">
        <f>J6+I6</f>
        <v>1746</v>
      </c>
      <c r="M6" s="9">
        <v>303</v>
      </c>
      <c r="N6" s="91">
        <f>(M6-J6)/J6</f>
        <v>-9.5522388059701493E-2</v>
      </c>
      <c r="O6" s="142">
        <f>L6+M6</f>
        <v>2049</v>
      </c>
      <c r="P6" s="9">
        <v>450</v>
      </c>
      <c r="Q6" s="92">
        <f>(P6-M6)/M6</f>
        <v>0.48514851485148514</v>
      </c>
      <c r="R6" s="142">
        <f>O6+P6</f>
        <v>2499</v>
      </c>
      <c r="S6" s="9">
        <v>1088</v>
      </c>
      <c r="T6" s="91">
        <f>(S6-I6)/I6</f>
        <v>-0.2289156626506024</v>
      </c>
      <c r="U6" s="9">
        <v>659</v>
      </c>
      <c r="V6" s="92">
        <f>(U6-P6)/P6</f>
        <v>0.46444444444444444</v>
      </c>
      <c r="W6" s="142">
        <f>U6+R6</f>
        <v>3158</v>
      </c>
      <c r="X6" s="9">
        <v>1058</v>
      </c>
      <c r="Y6" s="92">
        <f>(X6-U6)/U6</f>
        <v>0.6054628224582701</v>
      </c>
      <c r="Z6" s="142">
        <f>X6+W6</f>
        <v>4216</v>
      </c>
      <c r="AA6" s="9">
        <v>454</v>
      </c>
      <c r="AB6" s="91">
        <f>(AA6-X6)/X6</f>
        <v>-0.57088846880907373</v>
      </c>
      <c r="AC6" s="142">
        <f>AA6+Z6</f>
        <v>4670</v>
      </c>
      <c r="AD6" s="9">
        <v>2171</v>
      </c>
      <c r="AE6" s="92">
        <f>(AD6-S6)/S6</f>
        <v>0.99540441176470584</v>
      </c>
      <c r="AF6" s="9">
        <v>915</v>
      </c>
      <c r="AG6" s="92">
        <f>(AF6-AA6)/AA6</f>
        <v>1.0154185022026432</v>
      </c>
      <c r="AH6" s="142">
        <f>AF6+AC6</f>
        <v>5585</v>
      </c>
      <c r="AI6" s="9">
        <v>749</v>
      </c>
      <c r="AJ6" s="9"/>
      <c r="AK6" s="142">
        <f>AI6+AH6</f>
        <v>6334</v>
      </c>
      <c r="AL6" s="9">
        <v>872</v>
      </c>
      <c r="AM6" s="9"/>
      <c r="AN6" s="141">
        <f>AL6+AK6</f>
        <v>7206</v>
      </c>
      <c r="AO6" s="5">
        <f>SUM(AF6,AI6,AL6)</f>
        <v>2536</v>
      </c>
      <c r="AP6" s="219"/>
      <c r="AQ6">
        <f>SUM(I6+S6+AD6+AO6)</f>
        <v>7206</v>
      </c>
    </row>
    <row r="7" spans="1:43" x14ac:dyDescent="0.35">
      <c r="A7" s="89" t="s">
        <v>352</v>
      </c>
      <c r="B7" s="9" t="s">
        <v>353</v>
      </c>
      <c r="C7" s="9"/>
      <c r="D7" s="9" t="s">
        <v>354</v>
      </c>
      <c r="E7" s="9"/>
      <c r="F7" s="9"/>
      <c r="G7" s="9" t="s">
        <v>355</v>
      </c>
      <c r="H7" s="9"/>
      <c r="I7" s="9" t="s">
        <v>356</v>
      </c>
      <c r="J7" s="9" t="s">
        <v>357</v>
      </c>
      <c r="K7" s="9"/>
      <c r="L7" s="9"/>
      <c r="M7" s="9" t="s">
        <v>358</v>
      </c>
      <c r="N7" s="9"/>
      <c r="O7" s="9"/>
      <c r="P7" s="9" t="s">
        <v>359</v>
      </c>
      <c r="Q7" s="9"/>
      <c r="R7" s="9"/>
      <c r="S7" s="9" t="s">
        <v>358</v>
      </c>
      <c r="T7" s="9"/>
      <c r="U7" s="9" t="s">
        <v>360</v>
      </c>
      <c r="V7" s="9"/>
      <c r="W7" s="9"/>
      <c r="X7" s="9" t="s">
        <v>361</v>
      </c>
      <c r="Y7" s="9"/>
      <c r="Z7" s="9"/>
      <c r="AA7" s="9" t="s">
        <v>362</v>
      </c>
      <c r="AB7" s="9"/>
      <c r="AC7" s="9"/>
      <c r="AD7" s="9" t="s">
        <v>363</v>
      </c>
      <c r="AE7" s="9"/>
      <c r="AF7" s="9" t="s">
        <v>364</v>
      </c>
      <c r="AG7" s="90">
        <v>-0.26</v>
      </c>
      <c r="AH7" s="139"/>
      <c r="AI7" s="9" t="s">
        <v>365</v>
      </c>
      <c r="AJ7" s="9"/>
      <c r="AK7" s="9"/>
      <c r="AL7" s="9" t="s">
        <v>366</v>
      </c>
      <c r="AM7" s="9"/>
      <c r="AN7" s="9"/>
      <c r="AO7" s="5"/>
      <c r="AP7" s="5"/>
    </row>
    <row r="8" spans="1:43" x14ac:dyDescent="0.35">
      <c r="A8" s="89" t="s">
        <v>276</v>
      </c>
      <c r="B8" s="9">
        <v>1498</v>
      </c>
      <c r="C8" s="95"/>
      <c r="D8" s="9">
        <v>1458</v>
      </c>
      <c r="E8" s="91">
        <f>(D8-B8)/B8</f>
        <v>-2.67022696929239E-2</v>
      </c>
      <c r="F8" s="141">
        <f>D8+B8</f>
        <v>2956</v>
      </c>
      <c r="G8" s="9">
        <v>1099</v>
      </c>
      <c r="H8" s="91">
        <f>(G8-D8)/D8</f>
        <v>-0.24622770919067216</v>
      </c>
      <c r="I8" s="9">
        <v>4257</v>
      </c>
      <c r="J8" s="9">
        <v>919</v>
      </c>
      <c r="K8" s="91">
        <f>(J8-G8)/G8</f>
        <v>-0.1637852593266606</v>
      </c>
      <c r="L8" s="141">
        <f>J8+I8</f>
        <v>5176</v>
      </c>
      <c r="M8" s="9">
        <v>1057</v>
      </c>
      <c r="N8" s="92">
        <f>(M8-J8)/J8</f>
        <v>0.15016322089227421</v>
      </c>
      <c r="O8" s="96">
        <f>M8+L8</f>
        <v>6233</v>
      </c>
      <c r="P8" s="9">
        <v>1444</v>
      </c>
      <c r="Q8" s="92">
        <f>(P8-M8)/M8</f>
        <v>0.36613055818353829</v>
      </c>
      <c r="R8" s="96">
        <f>P8+O8</f>
        <v>7677</v>
      </c>
      <c r="S8" s="9">
        <v>3420</v>
      </c>
      <c r="T8" s="91">
        <f>(S8-I8)/I8</f>
        <v>-0.19661733615221988</v>
      </c>
      <c r="U8" s="9">
        <v>2352</v>
      </c>
      <c r="V8" s="92">
        <f>(U8-P8)/P8</f>
        <v>0.62880886426592797</v>
      </c>
      <c r="W8" s="96">
        <f>U8+R8</f>
        <v>10029</v>
      </c>
      <c r="X8" s="9">
        <v>2970</v>
      </c>
      <c r="Y8" s="92">
        <f>(X8-U8)/U8</f>
        <v>0.26275510204081631</v>
      </c>
      <c r="Z8" s="96">
        <f>X8+W8</f>
        <v>12999</v>
      </c>
      <c r="AA8" s="9">
        <v>1449</v>
      </c>
      <c r="AB8" s="91">
        <f>(AA8-X8)/X8</f>
        <v>-0.51212121212121209</v>
      </c>
      <c r="AC8" s="96">
        <f>AA8+Z8</f>
        <v>14448</v>
      </c>
      <c r="AD8" s="9">
        <v>6771</v>
      </c>
      <c r="AE8" s="92">
        <f>(AD8-S8)/S8</f>
        <v>0.97982456140350882</v>
      </c>
      <c r="AF8" s="9">
        <v>2330</v>
      </c>
      <c r="AG8" s="92">
        <f>(AF8-AA8)/AA8</f>
        <v>0.6080055210489993</v>
      </c>
      <c r="AH8" s="96">
        <f>AF8+AC8</f>
        <v>16778</v>
      </c>
      <c r="AI8" s="9">
        <v>1773</v>
      </c>
      <c r="AJ8" s="91">
        <f>(AI8-AF8)/AF8</f>
        <v>-0.2390557939914163</v>
      </c>
      <c r="AK8" s="96">
        <f>AI8+AH8</f>
        <v>18551</v>
      </c>
      <c r="AL8" s="9">
        <v>2026</v>
      </c>
      <c r="AM8" s="9">
        <f>AL8+AK8</f>
        <v>20577</v>
      </c>
      <c r="AN8" s="9"/>
      <c r="AO8" s="5">
        <f>SUM(AF8,AI8,AL8)</f>
        <v>6129</v>
      </c>
      <c r="AP8" s="5"/>
    </row>
    <row r="9" spans="1:43" x14ac:dyDescent="0.35">
      <c r="A9" s="89" t="s">
        <v>367</v>
      </c>
      <c r="B9" s="94">
        <f>B8/B6</f>
        <v>2.9372549019607841</v>
      </c>
      <c r="C9" s="95"/>
      <c r="D9" s="94">
        <f>D8/D6</f>
        <v>2.8146718146718146</v>
      </c>
      <c r="E9" s="95"/>
      <c r="F9" s="95"/>
      <c r="G9" s="94">
        <f>G8/G6</f>
        <v>2.8694516971279374</v>
      </c>
      <c r="H9" s="95"/>
      <c r="I9" s="94">
        <f>I8/I6</f>
        <v>3.0170092133238837</v>
      </c>
      <c r="J9" s="94">
        <f>J8/J6</f>
        <v>2.743283582089552</v>
      </c>
      <c r="K9" s="9"/>
      <c r="L9" s="9"/>
      <c r="M9" s="94">
        <f>M8/M6</f>
        <v>3.4884488448844886</v>
      </c>
      <c r="N9" s="9"/>
      <c r="O9" s="9"/>
      <c r="P9" s="94">
        <f>P8/P6</f>
        <v>3.2088888888888887</v>
      </c>
      <c r="Q9" s="9"/>
      <c r="R9" s="9"/>
      <c r="S9" s="94">
        <f>S8/S6</f>
        <v>3.1433823529411766</v>
      </c>
      <c r="T9" s="9"/>
      <c r="U9" s="94">
        <f>U8/U6</f>
        <v>3.5690440060698028</v>
      </c>
      <c r="V9" s="9"/>
      <c r="W9" s="9"/>
      <c r="X9" s="94">
        <f>X8/X6</f>
        <v>2.8071833648393194</v>
      </c>
      <c r="Y9" s="9"/>
      <c r="Z9" s="9"/>
      <c r="AA9" s="94">
        <v>6.09</v>
      </c>
      <c r="AB9" s="9"/>
      <c r="AC9" s="9"/>
      <c r="AD9" s="94">
        <f>AD8/AD6</f>
        <v>3.1188392445877477</v>
      </c>
      <c r="AE9" s="9"/>
      <c r="AF9" s="9">
        <v>3.5</v>
      </c>
      <c r="AG9" s="90">
        <v>-0.43</v>
      </c>
      <c r="AH9" s="139"/>
      <c r="AI9" s="9">
        <v>3.6</v>
      </c>
      <c r="AJ9" s="9"/>
      <c r="AK9" s="9"/>
      <c r="AL9" s="9"/>
      <c r="AM9" s="9"/>
      <c r="AN9" s="9"/>
      <c r="AO9" s="5"/>
      <c r="AP9" s="5"/>
    </row>
    <row r="10" spans="1:43" ht="72.5" x14ac:dyDescent="0.35">
      <c r="A10" s="89" t="s">
        <v>368</v>
      </c>
      <c r="B10" s="80" t="s">
        <v>369</v>
      </c>
      <c r="C10" s="9"/>
      <c r="D10" s="80" t="s">
        <v>370</v>
      </c>
      <c r="E10" s="9"/>
      <c r="F10" s="9"/>
      <c r="G10" s="80" t="s">
        <v>371</v>
      </c>
      <c r="H10" s="9"/>
      <c r="I10" s="80" t="s">
        <v>372</v>
      </c>
      <c r="J10" s="80" t="s">
        <v>373</v>
      </c>
      <c r="K10" s="9"/>
      <c r="L10" s="9"/>
      <c r="M10" s="80" t="s">
        <v>374</v>
      </c>
      <c r="N10" s="9"/>
      <c r="O10" s="9"/>
      <c r="P10" s="80" t="s">
        <v>375</v>
      </c>
      <c r="Q10" s="9"/>
      <c r="R10" s="9"/>
      <c r="S10" s="80" t="s">
        <v>376</v>
      </c>
      <c r="T10" s="9"/>
      <c r="U10" s="80" t="s">
        <v>376</v>
      </c>
      <c r="V10" s="9"/>
      <c r="W10" s="9"/>
      <c r="X10" s="80" t="s">
        <v>377</v>
      </c>
      <c r="Y10" s="9"/>
      <c r="Z10" s="9"/>
      <c r="AA10" s="80" t="s">
        <v>378</v>
      </c>
      <c r="AB10" s="9"/>
      <c r="AC10" s="9"/>
      <c r="AD10" s="9" t="s">
        <v>379</v>
      </c>
      <c r="AE10" s="9"/>
      <c r="AF10" s="9"/>
      <c r="AG10" s="9"/>
      <c r="AH10" s="9"/>
      <c r="AI10" s="9" t="s">
        <v>380</v>
      </c>
      <c r="AJ10" s="9"/>
      <c r="AK10" s="9"/>
      <c r="AL10" s="9"/>
      <c r="AM10" s="9"/>
      <c r="AN10" s="9"/>
      <c r="AO10" s="5"/>
      <c r="AP10" s="5"/>
    </row>
    <row r="11" spans="1:43" x14ac:dyDescent="0.35">
      <c r="A11" s="2"/>
      <c r="B11" s="17"/>
      <c r="C11" s="18"/>
      <c r="D11" s="17"/>
      <c r="E11" s="18"/>
      <c r="F11" s="18"/>
      <c r="G11" s="17"/>
      <c r="H11" s="18"/>
      <c r="I11" s="17"/>
      <c r="J11" s="17"/>
      <c r="M11" s="17"/>
      <c r="P11" s="17"/>
      <c r="S11" s="17"/>
      <c r="U11" s="17"/>
      <c r="X11" s="17"/>
      <c r="AA11" s="17"/>
      <c r="AD11" s="17"/>
    </row>
    <row r="12" spans="1:43" x14ac:dyDescent="0.35">
      <c r="A12" s="89" t="s">
        <v>381</v>
      </c>
      <c r="B12" s="84" t="s">
        <v>382</v>
      </c>
      <c r="C12" s="84"/>
      <c r="D12" s="84" t="s">
        <v>382</v>
      </c>
      <c r="E12" s="84" t="s">
        <v>382</v>
      </c>
      <c r="F12" s="84"/>
      <c r="G12" s="84" t="s">
        <v>382</v>
      </c>
      <c r="H12" s="84" t="s">
        <v>382</v>
      </c>
      <c r="I12" s="84" t="s">
        <v>382</v>
      </c>
      <c r="J12" s="84" t="s">
        <v>382</v>
      </c>
      <c r="K12" s="84" t="s">
        <v>382</v>
      </c>
      <c r="L12" s="84"/>
      <c r="M12" s="84" t="s">
        <v>382</v>
      </c>
      <c r="N12" s="84" t="s">
        <v>382</v>
      </c>
      <c r="O12" s="84"/>
      <c r="P12" s="84" t="s">
        <v>382</v>
      </c>
      <c r="Q12" s="84" t="s">
        <v>382</v>
      </c>
      <c r="R12" s="84"/>
      <c r="S12" s="84" t="s">
        <v>382</v>
      </c>
      <c r="T12" s="84" t="s">
        <v>382</v>
      </c>
      <c r="U12" s="84" t="s">
        <v>382</v>
      </c>
      <c r="V12" s="84" t="s">
        <v>382</v>
      </c>
      <c r="W12" s="84"/>
      <c r="X12" s="9">
        <v>19</v>
      </c>
      <c r="Y12" s="9" t="s">
        <v>382</v>
      </c>
      <c r="Z12" s="9"/>
      <c r="AA12" s="9">
        <v>7</v>
      </c>
      <c r="AB12" s="91">
        <f>(AA12-X12)/X12</f>
        <v>-0.63157894736842102</v>
      </c>
      <c r="AC12" s="91"/>
      <c r="AD12" s="9">
        <v>26</v>
      </c>
      <c r="AE12" s="9" t="s">
        <v>382</v>
      </c>
      <c r="AF12" s="9">
        <v>17</v>
      </c>
      <c r="AG12" s="138">
        <v>1.43</v>
      </c>
      <c r="AH12" s="139"/>
      <c r="AI12" s="9">
        <v>14</v>
      </c>
      <c r="AJ12" s="91">
        <f>(AI12-AF12)/AF12</f>
        <v>-0.17647058823529413</v>
      </c>
      <c r="AK12" s="91"/>
      <c r="AL12" s="9"/>
      <c r="AM12" s="9"/>
      <c r="AN12" s="9"/>
      <c r="AO12" s="5"/>
      <c r="AP12" s="5"/>
    </row>
    <row r="13" spans="1:43" x14ac:dyDescent="0.35">
      <c r="A13" s="89" t="s">
        <v>383</v>
      </c>
      <c r="B13" s="84" t="s">
        <v>382</v>
      </c>
      <c r="C13" s="84"/>
      <c r="D13" s="84" t="s">
        <v>382</v>
      </c>
      <c r="E13" s="84" t="s">
        <v>382</v>
      </c>
      <c r="F13" s="84"/>
      <c r="G13" s="84" t="s">
        <v>382</v>
      </c>
      <c r="H13" s="84" t="s">
        <v>382</v>
      </c>
      <c r="I13" s="84" t="s">
        <v>382</v>
      </c>
      <c r="J13" s="84" t="s">
        <v>382</v>
      </c>
      <c r="K13" s="84" t="s">
        <v>382</v>
      </c>
      <c r="L13" s="84"/>
      <c r="M13" s="84" t="s">
        <v>382</v>
      </c>
      <c r="N13" s="84" t="s">
        <v>382</v>
      </c>
      <c r="O13" s="84"/>
      <c r="P13" s="84" t="s">
        <v>382</v>
      </c>
      <c r="Q13" s="84" t="s">
        <v>382</v>
      </c>
      <c r="R13" s="84"/>
      <c r="S13" s="84" t="s">
        <v>382</v>
      </c>
      <c r="T13" s="84" t="s">
        <v>382</v>
      </c>
      <c r="U13" s="84" t="s">
        <v>382</v>
      </c>
      <c r="V13" s="84" t="s">
        <v>382</v>
      </c>
      <c r="W13" s="84"/>
      <c r="X13" s="9">
        <v>3</v>
      </c>
      <c r="Y13" s="9" t="s">
        <v>382</v>
      </c>
      <c r="Z13" s="9"/>
      <c r="AA13" s="9">
        <v>2</v>
      </c>
      <c r="AB13" s="91">
        <f>(AA13-X13)/X13</f>
        <v>-0.33333333333333331</v>
      </c>
      <c r="AC13" s="91"/>
      <c r="AD13" s="9">
        <v>5</v>
      </c>
      <c r="AE13" s="9" t="s">
        <v>382</v>
      </c>
      <c r="AF13" s="9">
        <v>4</v>
      </c>
      <c r="AG13" s="138">
        <v>1</v>
      </c>
      <c r="AH13" s="139"/>
      <c r="AI13" s="9">
        <v>1</v>
      </c>
      <c r="AJ13" s="91">
        <f>(AI13-AF13)/AF13</f>
        <v>-0.75</v>
      </c>
      <c r="AK13" s="91"/>
      <c r="AL13" s="9"/>
      <c r="AM13" s="9"/>
      <c r="AN13" s="9"/>
      <c r="AO13" s="5"/>
      <c r="AP13" s="5"/>
    </row>
    <row r="14" spans="1:43" x14ac:dyDescent="0.35">
      <c r="A14" s="2"/>
      <c r="AB14" s="82"/>
      <c r="AC14" s="82"/>
      <c r="AH14" s="153" t="s">
        <v>384</v>
      </c>
      <c r="AK14" s="82"/>
    </row>
    <row r="15" spans="1:43" ht="29" x14ac:dyDescent="0.35">
      <c r="A15" s="382" t="s">
        <v>385</v>
      </c>
      <c r="B15" s="80" t="s">
        <v>386</v>
      </c>
      <c r="C15" s="9"/>
      <c r="D15" s="80" t="s">
        <v>286</v>
      </c>
      <c r="E15" s="9"/>
      <c r="F15" s="9"/>
      <c r="G15" s="80" t="s">
        <v>286</v>
      </c>
      <c r="H15" s="9"/>
      <c r="I15" s="80" t="s">
        <v>387</v>
      </c>
      <c r="J15" s="80" t="s">
        <v>388</v>
      </c>
      <c r="K15" s="9"/>
      <c r="L15" s="9"/>
      <c r="M15" s="80" t="s">
        <v>389</v>
      </c>
      <c r="N15" s="9"/>
      <c r="O15" s="9"/>
      <c r="P15" s="80" t="s">
        <v>386</v>
      </c>
      <c r="Q15" s="9"/>
      <c r="R15" s="9"/>
      <c r="S15" s="80" t="s">
        <v>390</v>
      </c>
      <c r="T15" s="9"/>
      <c r="U15" s="80" t="s">
        <v>286</v>
      </c>
      <c r="V15" s="9"/>
      <c r="W15" s="9"/>
      <c r="X15" s="80" t="s">
        <v>286</v>
      </c>
      <c r="Y15" s="9"/>
      <c r="Z15" s="9"/>
      <c r="AA15" s="80" t="s">
        <v>288</v>
      </c>
      <c r="AB15" s="9"/>
      <c r="AC15" s="9"/>
      <c r="AD15" s="80" t="s">
        <v>286</v>
      </c>
      <c r="AE15" s="9"/>
      <c r="AF15" s="9" t="s">
        <v>391</v>
      </c>
      <c r="AG15" s="384"/>
      <c r="AH15" s="80" t="s">
        <v>392</v>
      </c>
      <c r="AI15" s="9" t="s">
        <v>393</v>
      </c>
      <c r="AJ15" s="9"/>
      <c r="AK15" s="9"/>
      <c r="AL15" s="9" t="s">
        <v>394</v>
      </c>
      <c r="AM15" s="9"/>
    </row>
    <row r="16" spans="1:43" ht="57.65" customHeight="1" x14ac:dyDescent="0.35">
      <c r="A16" s="383"/>
      <c r="B16" s="80" t="s">
        <v>395</v>
      </c>
      <c r="C16" s="9"/>
      <c r="D16" s="80" t="s">
        <v>395</v>
      </c>
      <c r="E16" s="9"/>
      <c r="F16" s="9"/>
      <c r="G16" s="80" t="s">
        <v>302</v>
      </c>
      <c r="H16" s="9"/>
      <c r="I16" s="80" t="s">
        <v>396</v>
      </c>
      <c r="J16" s="80" t="s">
        <v>395</v>
      </c>
      <c r="K16" s="9"/>
      <c r="L16" s="9"/>
      <c r="M16" s="81" t="s">
        <v>286</v>
      </c>
      <c r="N16" s="9"/>
      <c r="O16" s="9"/>
      <c r="P16" s="80" t="s">
        <v>302</v>
      </c>
      <c r="Q16" s="9"/>
      <c r="R16" s="9"/>
      <c r="S16" s="80" t="s">
        <v>397</v>
      </c>
      <c r="T16" s="9"/>
      <c r="U16" s="80" t="s">
        <v>389</v>
      </c>
      <c r="V16" s="9"/>
      <c r="W16" s="9"/>
      <c r="X16" s="80" t="s">
        <v>288</v>
      </c>
      <c r="Y16" s="9"/>
      <c r="Z16" s="9"/>
      <c r="AA16" s="80" t="s">
        <v>286</v>
      </c>
      <c r="AB16" s="9"/>
      <c r="AC16" s="9"/>
      <c r="AD16" s="80" t="s">
        <v>288</v>
      </c>
      <c r="AE16" s="9"/>
      <c r="AF16" s="9" t="s">
        <v>398</v>
      </c>
      <c r="AG16" s="385"/>
      <c r="AH16" s="80" t="s">
        <v>399</v>
      </c>
      <c r="AI16" s="80" t="s">
        <v>400</v>
      </c>
      <c r="AJ16" s="9"/>
      <c r="AK16" s="9"/>
      <c r="AL16" s="9" t="s">
        <v>401</v>
      </c>
      <c r="AM16" s="9"/>
    </row>
    <row r="17" spans="1:39" ht="29" x14ac:dyDescent="0.35">
      <c r="A17" s="383"/>
      <c r="B17" s="80" t="s">
        <v>302</v>
      </c>
      <c r="C17" s="9"/>
      <c r="D17" s="80" t="s">
        <v>302</v>
      </c>
      <c r="E17" s="9"/>
      <c r="F17" s="9"/>
      <c r="G17" s="80" t="s">
        <v>395</v>
      </c>
      <c r="H17" s="9"/>
      <c r="I17" s="80" t="s">
        <v>402</v>
      </c>
      <c r="J17" s="80" t="s">
        <v>302</v>
      </c>
      <c r="K17" s="9"/>
      <c r="L17" s="9"/>
      <c r="M17" s="80" t="s">
        <v>403</v>
      </c>
      <c r="N17" s="9"/>
      <c r="O17" s="9"/>
      <c r="P17" s="80" t="s">
        <v>290</v>
      </c>
      <c r="Q17" s="9"/>
      <c r="R17" s="9"/>
      <c r="S17" s="80" t="s">
        <v>404</v>
      </c>
      <c r="T17" s="9"/>
      <c r="U17" s="80" t="s">
        <v>395</v>
      </c>
      <c r="V17" s="9"/>
      <c r="W17" s="9"/>
      <c r="X17" s="80" t="s">
        <v>290</v>
      </c>
      <c r="Y17" s="9"/>
      <c r="Z17" s="9"/>
      <c r="AA17" s="80" t="s">
        <v>405</v>
      </c>
      <c r="AB17" s="9"/>
      <c r="AC17" s="9"/>
      <c r="AD17" s="80" t="s">
        <v>395</v>
      </c>
      <c r="AE17" s="9"/>
      <c r="AF17" s="9" t="s">
        <v>406</v>
      </c>
      <c r="AG17" s="385"/>
      <c r="AH17" s="80" t="s">
        <v>407</v>
      </c>
      <c r="AI17" s="80" t="s">
        <v>408</v>
      </c>
      <c r="AJ17" s="9"/>
      <c r="AK17" s="9"/>
      <c r="AL17" s="9" t="s">
        <v>409</v>
      </c>
      <c r="AM17" s="9"/>
    </row>
    <row r="18" spans="1:39" ht="43.5" x14ac:dyDescent="0.35">
      <c r="A18" s="383"/>
      <c r="B18" s="80" t="s">
        <v>410</v>
      </c>
      <c r="C18" s="9"/>
      <c r="D18" s="80" t="s">
        <v>411</v>
      </c>
      <c r="E18" s="9"/>
      <c r="F18" s="9"/>
      <c r="G18" s="80" t="s">
        <v>290</v>
      </c>
      <c r="H18" s="9"/>
      <c r="I18" s="80" t="s">
        <v>412</v>
      </c>
      <c r="J18" s="80" t="s">
        <v>411</v>
      </c>
      <c r="K18" s="9"/>
      <c r="L18" s="9"/>
      <c r="M18" s="80" t="s">
        <v>395</v>
      </c>
      <c r="N18" s="9"/>
      <c r="O18" s="9"/>
      <c r="P18" s="80" t="s">
        <v>413</v>
      </c>
      <c r="Q18" s="9"/>
      <c r="R18" s="9"/>
      <c r="S18" s="80" t="s">
        <v>414</v>
      </c>
      <c r="T18" s="9"/>
      <c r="U18" s="80" t="s">
        <v>302</v>
      </c>
      <c r="V18" s="9"/>
      <c r="W18" s="9"/>
      <c r="X18" s="80" t="s">
        <v>395</v>
      </c>
      <c r="Y18" s="9"/>
      <c r="Z18" s="9"/>
      <c r="AA18" s="80" t="s">
        <v>302</v>
      </c>
      <c r="AB18" s="9"/>
      <c r="AC18" s="9"/>
      <c r="AD18" s="80" t="s">
        <v>290</v>
      </c>
      <c r="AE18" s="9"/>
      <c r="AF18" s="9" t="s">
        <v>415</v>
      </c>
      <c r="AG18" s="385"/>
      <c r="AH18" s="80" t="s">
        <v>416</v>
      </c>
      <c r="AI18" s="9" t="s">
        <v>417</v>
      </c>
      <c r="AJ18" s="9"/>
      <c r="AK18" s="9"/>
      <c r="AL18" s="9" t="s">
        <v>418</v>
      </c>
      <c r="AM18" s="9"/>
    </row>
    <row r="19" spans="1:39" ht="43.5" x14ac:dyDescent="0.35">
      <c r="A19" s="383"/>
      <c r="B19" s="80" t="s">
        <v>419</v>
      </c>
      <c r="C19" s="9"/>
      <c r="D19" s="80" t="s">
        <v>420</v>
      </c>
      <c r="E19" s="9"/>
      <c r="F19" s="9"/>
      <c r="G19" s="80" t="s">
        <v>421</v>
      </c>
      <c r="H19" s="9"/>
      <c r="I19" s="80" t="s">
        <v>422</v>
      </c>
      <c r="J19" s="80" t="s">
        <v>290</v>
      </c>
      <c r="K19" s="9"/>
      <c r="L19" s="9"/>
      <c r="M19" s="80" t="s">
        <v>423</v>
      </c>
      <c r="N19" s="9"/>
      <c r="O19" s="9"/>
      <c r="P19" s="80" t="s">
        <v>424</v>
      </c>
      <c r="Q19" s="9"/>
      <c r="R19" s="9"/>
      <c r="S19" s="80" t="s">
        <v>425</v>
      </c>
      <c r="T19" s="9"/>
      <c r="U19" s="80" t="s">
        <v>426</v>
      </c>
      <c r="V19" s="9"/>
      <c r="W19" s="9"/>
      <c r="X19" s="80" t="s">
        <v>426</v>
      </c>
      <c r="Y19" s="9"/>
      <c r="Z19" s="9"/>
      <c r="AA19" s="80" t="s">
        <v>395</v>
      </c>
      <c r="AB19" s="9"/>
      <c r="AC19" s="9"/>
      <c r="AD19" s="80" t="s">
        <v>302</v>
      </c>
      <c r="AE19" s="9"/>
      <c r="AF19" s="9" t="s">
        <v>427</v>
      </c>
      <c r="AG19" s="386"/>
      <c r="AH19" s="80" t="s">
        <v>428</v>
      </c>
      <c r="AI19" s="80" t="s">
        <v>429</v>
      </c>
      <c r="AJ19" s="9"/>
      <c r="AK19" s="9"/>
      <c r="AL19" s="9" t="s">
        <v>430</v>
      </c>
      <c r="AM19" s="9"/>
    </row>
    <row r="20" spans="1:39" x14ac:dyDescent="0.35">
      <c r="A20" s="19"/>
      <c r="B20" s="16"/>
      <c r="D20" s="16"/>
      <c r="G20" s="16"/>
      <c r="I20" s="16"/>
      <c r="J20" s="16"/>
      <c r="M20" s="16"/>
      <c r="P20" s="16"/>
      <c r="S20" s="16"/>
      <c r="U20" s="16"/>
      <c r="X20" s="16"/>
      <c r="AA20" s="16"/>
      <c r="AD20" s="16"/>
      <c r="AH20" s="153" t="s">
        <v>384</v>
      </c>
    </row>
    <row r="21" spans="1:39" ht="72.5" x14ac:dyDescent="0.35">
      <c r="A21" s="382" t="s">
        <v>431</v>
      </c>
      <c r="B21" s="9"/>
      <c r="C21" s="9"/>
      <c r="D21" s="83" t="s">
        <v>432</v>
      </c>
      <c r="E21" s="9"/>
      <c r="F21" s="9"/>
      <c r="G21" s="83" t="s">
        <v>433</v>
      </c>
      <c r="H21" s="9"/>
      <c r="I21" s="263" t="s">
        <v>434</v>
      </c>
      <c r="J21" s="80" t="s">
        <v>435</v>
      </c>
      <c r="K21" s="9"/>
      <c r="L21" s="9"/>
      <c r="M21" s="80" t="s">
        <v>436</v>
      </c>
      <c r="N21" s="9"/>
      <c r="O21" s="9"/>
      <c r="P21" s="80" t="s">
        <v>437</v>
      </c>
      <c r="Q21" s="9"/>
      <c r="R21" s="9"/>
      <c r="S21" s="80" t="s">
        <v>438</v>
      </c>
      <c r="T21" s="9"/>
      <c r="U21" s="80" t="s">
        <v>439</v>
      </c>
      <c r="V21" s="9"/>
      <c r="W21" s="9"/>
      <c r="X21" s="80" t="s">
        <v>440</v>
      </c>
      <c r="Y21" s="9"/>
      <c r="Z21" s="9"/>
      <c r="AA21" s="80" t="s">
        <v>441</v>
      </c>
      <c r="AB21" s="9"/>
      <c r="AC21" s="9"/>
      <c r="AD21" s="80" t="s">
        <v>442</v>
      </c>
      <c r="AE21" s="9"/>
      <c r="AF21" s="9" t="s">
        <v>443</v>
      </c>
      <c r="AG21" s="384"/>
      <c r="AH21" s="80" t="s">
        <v>444</v>
      </c>
      <c r="AI21" s="80" t="s">
        <v>445</v>
      </c>
      <c r="AJ21" s="9"/>
      <c r="AK21" s="9"/>
      <c r="AL21" s="9" t="s">
        <v>446</v>
      </c>
      <c r="AM21" s="9"/>
    </row>
    <row r="22" spans="1:39" ht="72.5" x14ac:dyDescent="0.35">
      <c r="A22" s="383"/>
      <c r="B22" s="9"/>
      <c r="C22" s="9"/>
      <c r="D22" s="83" t="s">
        <v>447</v>
      </c>
      <c r="E22" s="9"/>
      <c r="F22" s="9"/>
      <c r="G22" s="83" t="s">
        <v>448</v>
      </c>
      <c r="H22" s="9"/>
      <c r="I22" s="263" t="s">
        <v>449</v>
      </c>
      <c r="J22" s="80" t="s">
        <v>450</v>
      </c>
      <c r="K22" s="9"/>
      <c r="L22" s="9"/>
      <c r="M22" s="80" t="s">
        <v>451</v>
      </c>
      <c r="N22" s="9"/>
      <c r="O22" s="9"/>
      <c r="P22" s="80" t="s">
        <v>452</v>
      </c>
      <c r="Q22" s="9"/>
      <c r="R22" s="9"/>
      <c r="S22" s="80" t="s">
        <v>453</v>
      </c>
      <c r="T22" s="9"/>
      <c r="U22" s="80" t="s">
        <v>454</v>
      </c>
      <c r="V22" s="9"/>
      <c r="W22" s="9"/>
      <c r="X22" s="80" t="s">
        <v>455</v>
      </c>
      <c r="Y22" s="9"/>
      <c r="Z22" s="9"/>
      <c r="AA22" s="80" t="s">
        <v>456</v>
      </c>
      <c r="AB22" s="9"/>
      <c r="AC22" s="9"/>
      <c r="AD22" s="80" t="s">
        <v>457</v>
      </c>
      <c r="AE22" s="9"/>
      <c r="AF22" s="9" t="s">
        <v>458</v>
      </c>
      <c r="AG22" s="385"/>
      <c r="AH22" s="80" t="s">
        <v>459</v>
      </c>
      <c r="AI22" s="80" t="s">
        <v>460</v>
      </c>
      <c r="AJ22" s="9"/>
      <c r="AK22" s="9"/>
      <c r="AL22" s="9" t="s">
        <v>461</v>
      </c>
      <c r="AM22" s="9"/>
    </row>
    <row r="23" spans="1:39" ht="130.5" x14ac:dyDescent="0.35">
      <c r="A23" s="383"/>
      <c r="B23" s="9"/>
      <c r="C23" s="9"/>
      <c r="D23" s="83" t="s">
        <v>462</v>
      </c>
      <c r="E23" s="9"/>
      <c r="F23" s="9"/>
      <c r="G23" s="80" t="s">
        <v>463</v>
      </c>
      <c r="H23" s="9"/>
      <c r="I23" s="263" t="s">
        <v>464</v>
      </c>
      <c r="J23" s="80" t="s">
        <v>465</v>
      </c>
      <c r="K23" s="9"/>
      <c r="L23" s="9"/>
      <c r="M23" s="80" t="s">
        <v>466</v>
      </c>
      <c r="N23" s="9"/>
      <c r="O23" s="9"/>
      <c r="P23" s="80" t="s">
        <v>467</v>
      </c>
      <c r="Q23" s="9"/>
      <c r="R23" s="9"/>
      <c r="S23" s="80" t="s">
        <v>468</v>
      </c>
      <c r="T23" s="9"/>
      <c r="U23" s="80" t="s">
        <v>469</v>
      </c>
      <c r="V23" s="9"/>
      <c r="W23" s="9"/>
      <c r="X23" s="80" t="s">
        <v>439</v>
      </c>
      <c r="Y23" s="9"/>
      <c r="Z23" s="9"/>
      <c r="AA23" s="80" t="s">
        <v>470</v>
      </c>
      <c r="AB23" s="9"/>
      <c r="AC23" s="9"/>
      <c r="AD23" s="80" t="s">
        <v>471</v>
      </c>
      <c r="AE23" s="9"/>
      <c r="AF23" s="80" t="s">
        <v>472</v>
      </c>
      <c r="AG23" s="385"/>
      <c r="AH23" s="80" t="s">
        <v>473</v>
      </c>
      <c r="AI23" s="80" t="s">
        <v>474</v>
      </c>
      <c r="AJ23" s="9"/>
      <c r="AK23" s="9"/>
      <c r="AL23" s="9" t="s">
        <v>475</v>
      </c>
      <c r="AM23" s="9"/>
    </row>
    <row r="24" spans="1:39" ht="72.5" x14ac:dyDescent="0.35">
      <c r="A24" s="383"/>
      <c r="B24" s="9"/>
      <c r="C24" s="9"/>
      <c r="D24" s="83" t="s">
        <v>476</v>
      </c>
      <c r="E24" s="9"/>
      <c r="F24" s="9"/>
      <c r="G24" s="80" t="s">
        <v>477</v>
      </c>
      <c r="H24" s="9"/>
      <c r="I24" s="263" t="s">
        <v>478</v>
      </c>
      <c r="J24" s="80" t="s">
        <v>479</v>
      </c>
      <c r="K24" s="9"/>
      <c r="L24" s="9"/>
      <c r="M24" s="80" t="s">
        <v>480</v>
      </c>
      <c r="N24" s="9"/>
      <c r="O24" s="9"/>
      <c r="P24" s="80" t="s">
        <v>481</v>
      </c>
      <c r="Q24" s="9"/>
      <c r="R24" s="9"/>
      <c r="S24" s="80" t="s">
        <v>482</v>
      </c>
      <c r="T24" s="9"/>
      <c r="U24" s="80" t="s">
        <v>483</v>
      </c>
      <c r="V24" s="9"/>
      <c r="W24" s="9"/>
      <c r="X24" s="80" t="s">
        <v>484</v>
      </c>
      <c r="Y24" s="9"/>
      <c r="Z24" s="9"/>
      <c r="AA24" s="80" t="s">
        <v>485</v>
      </c>
      <c r="AB24" s="9"/>
      <c r="AC24" s="9"/>
      <c r="AD24" s="80" t="s">
        <v>486</v>
      </c>
      <c r="AE24" s="9"/>
      <c r="AF24" s="80" t="s">
        <v>487</v>
      </c>
      <c r="AG24" s="385"/>
      <c r="AH24" s="80" t="s">
        <v>488</v>
      </c>
      <c r="AI24" s="80" t="s">
        <v>489</v>
      </c>
      <c r="AJ24" s="9"/>
      <c r="AK24" s="9"/>
      <c r="AL24" s="9" t="s">
        <v>490</v>
      </c>
      <c r="AM24" s="9"/>
    </row>
    <row r="25" spans="1:39" ht="87" x14ac:dyDescent="0.35">
      <c r="A25" s="383"/>
      <c r="B25" s="9"/>
      <c r="C25" s="9"/>
      <c r="D25" s="83" t="s">
        <v>491</v>
      </c>
      <c r="E25" s="9"/>
      <c r="F25" s="9"/>
      <c r="G25" s="83" t="s">
        <v>492</v>
      </c>
      <c r="H25" s="9"/>
      <c r="I25" s="264" t="s">
        <v>493</v>
      </c>
      <c r="J25" s="80" t="s">
        <v>494</v>
      </c>
      <c r="K25" s="9"/>
      <c r="L25" s="9"/>
      <c r="M25" s="80" t="s">
        <v>495</v>
      </c>
      <c r="N25" s="9"/>
      <c r="O25" s="9"/>
      <c r="P25" s="80" t="s">
        <v>496</v>
      </c>
      <c r="Q25" s="9"/>
      <c r="R25" s="9"/>
      <c r="S25" s="80" t="s">
        <v>497</v>
      </c>
      <c r="T25" s="9"/>
      <c r="U25" s="80" t="s">
        <v>498</v>
      </c>
      <c r="V25" s="9"/>
      <c r="W25" s="9"/>
      <c r="X25" s="80" t="s">
        <v>499</v>
      </c>
      <c r="Y25" s="9"/>
      <c r="Z25" s="9"/>
      <c r="AA25" s="80" t="s">
        <v>500</v>
      </c>
      <c r="AB25" s="9"/>
      <c r="AC25" s="9"/>
      <c r="AD25" s="80" t="s">
        <v>501</v>
      </c>
      <c r="AE25" s="9"/>
      <c r="AF25" s="9" t="s">
        <v>502</v>
      </c>
      <c r="AG25" s="385"/>
      <c r="AH25" s="9" t="s">
        <v>503</v>
      </c>
      <c r="AI25" s="80" t="s">
        <v>504</v>
      </c>
      <c r="AJ25" s="9"/>
      <c r="AK25" s="9"/>
      <c r="AL25" s="9" t="s">
        <v>505</v>
      </c>
      <c r="AM25" s="9"/>
    </row>
    <row r="26" spans="1:39" ht="101.5" x14ac:dyDescent="0.35">
      <c r="A26" s="383"/>
      <c r="B26" s="9"/>
      <c r="C26" s="9"/>
      <c r="D26" s="83" t="s">
        <v>506</v>
      </c>
      <c r="E26" s="9"/>
      <c r="F26" s="9"/>
      <c r="G26" s="83" t="s">
        <v>507</v>
      </c>
      <c r="H26" s="9"/>
      <c r="I26" s="80"/>
      <c r="J26" s="80" t="s">
        <v>508</v>
      </c>
      <c r="K26" s="9"/>
      <c r="L26" s="9"/>
      <c r="M26" s="80" t="s">
        <v>509</v>
      </c>
      <c r="N26" s="9"/>
      <c r="O26" s="9"/>
      <c r="P26" s="80" t="s">
        <v>510</v>
      </c>
      <c r="Q26" s="9"/>
      <c r="R26" s="9"/>
      <c r="S26" s="80" t="s">
        <v>511</v>
      </c>
      <c r="T26" s="9"/>
      <c r="U26" s="80" t="s">
        <v>512</v>
      </c>
      <c r="V26" s="9"/>
      <c r="W26" s="9"/>
      <c r="X26" s="80" t="s">
        <v>513</v>
      </c>
      <c r="Y26" s="9"/>
      <c r="Z26" s="9"/>
      <c r="AA26" s="80" t="s">
        <v>514</v>
      </c>
      <c r="AB26" s="9"/>
      <c r="AC26" s="9"/>
      <c r="AD26" s="80" t="s">
        <v>515</v>
      </c>
      <c r="AE26" s="9"/>
      <c r="AF26" s="9" t="s">
        <v>516</v>
      </c>
      <c r="AG26" s="385"/>
      <c r="AH26" s="80" t="s">
        <v>517</v>
      </c>
      <c r="AI26" s="80" t="s">
        <v>518</v>
      </c>
      <c r="AJ26" s="9"/>
      <c r="AK26" s="9"/>
      <c r="AL26" s="9" t="s">
        <v>519</v>
      </c>
      <c r="AM26" s="9"/>
    </row>
    <row r="27" spans="1:39" ht="130.5" x14ac:dyDescent="0.35">
      <c r="A27" s="383"/>
      <c r="B27" s="9"/>
      <c r="C27" s="9"/>
      <c r="D27" s="83" t="s">
        <v>520</v>
      </c>
      <c r="E27" s="9"/>
      <c r="F27" s="9"/>
      <c r="G27" s="83" t="s">
        <v>521</v>
      </c>
      <c r="H27" s="9"/>
      <c r="I27" s="80"/>
      <c r="J27" s="80" t="s">
        <v>522</v>
      </c>
      <c r="K27" s="9"/>
      <c r="L27" s="9"/>
      <c r="M27" s="80" t="s">
        <v>523</v>
      </c>
      <c r="N27" s="9"/>
      <c r="O27" s="9"/>
      <c r="P27" s="80" t="s">
        <v>524</v>
      </c>
      <c r="Q27" s="9"/>
      <c r="R27" s="9"/>
      <c r="S27" s="80" t="s">
        <v>525</v>
      </c>
      <c r="T27" s="9"/>
      <c r="U27" s="80" t="s">
        <v>526</v>
      </c>
      <c r="V27" s="9"/>
      <c r="W27" s="9"/>
      <c r="X27" s="80" t="s">
        <v>527</v>
      </c>
      <c r="Y27" s="9"/>
      <c r="Z27" s="9"/>
      <c r="AA27" s="80" t="s">
        <v>528</v>
      </c>
      <c r="AB27" s="9"/>
      <c r="AC27" s="9"/>
      <c r="AD27" s="80" t="s">
        <v>529</v>
      </c>
      <c r="AE27" s="9"/>
      <c r="AF27" s="80" t="s">
        <v>530</v>
      </c>
      <c r="AG27" s="385"/>
      <c r="AH27" s="80" t="s">
        <v>531</v>
      </c>
      <c r="AI27" s="9" t="s">
        <v>532</v>
      </c>
      <c r="AJ27" s="9"/>
      <c r="AK27" s="9"/>
      <c r="AL27" s="9" t="s">
        <v>533</v>
      </c>
      <c r="AM27" s="9"/>
    </row>
    <row r="28" spans="1:39" ht="101.5" x14ac:dyDescent="0.35">
      <c r="A28" s="383"/>
      <c r="B28" s="9"/>
      <c r="C28" s="9"/>
      <c r="D28" s="83" t="s">
        <v>534</v>
      </c>
      <c r="E28" s="9"/>
      <c r="F28" s="9"/>
      <c r="G28" s="80" t="s">
        <v>535</v>
      </c>
      <c r="H28" s="9"/>
      <c r="I28" s="80"/>
      <c r="J28" s="80" t="s">
        <v>536</v>
      </c>
      <c r="K28" s="9"/>
      <c r="L28" s="9"/>
      <c r="M28" s="80" t="s">
        <v>537</v>
      </c>
      <c r="N28" s="9"/>
      <c r="O28" s="9"/>
      <c r="P28" s="80" t="s">
        <v>538</v>
      </c>
      <c r="Q28" s="9"/>
      <c r="R28" s="9"/>
      <c r="S28" s="80" t="s">
        <v>539</v>
      </c>
      <c r="T28" s="9"/>
      <c r="U28" s="80" t="s">
        <v>540</v>
      </c>
      <c r="V28" s="9"/>
      <c r="W28" s="9"/>
      <c r="X28" s="80" t="s">
        <v>541</v>
      </c>
      <c r="Y28" s="9"/>
      <c r="Z28" s="9"/>
      <c r="AA28" s="80" t="s">
        <v>542</v>
      </c>
      <c r="AB28" s="9"/>
      <c r="AC28" s="9"/>
      <c r="AD28" s="80" t="s">
        <v>543</v>
      </c>
      <c r="AE28" s="9"/>
      <c r="AF28" s="80" t="s">
        <v>544</v>
      </c>
      <c r="AG28" s="385"/>
      <c r="AH28" s="80" t="s">
        <v>545</v>
      </c>
      <c r="AI28" s="9" t="s">
        <v>546</v>
      </c>
      <c r="AJ28" s="9"/>
      <c r="AK28" s="9"/>
      <c r="AL28" s="9" t="s">
        <v>547</v>
      </c>
      <c r="AM28" s="9"/>
    </row>
    <row r="29" spans="1:39" ht="72.5" x14ac:dyDescent="0.35">
      <c r="A29" s="383"/>
      <c r="B29" s="9"/>
      <c r="C29" s="9"/>
      <c r="D29" s="83" t="s">
        <v>548</v>
      </c>
      <c r="E29" s="9"/>
      <c r="F29" s="9"/>
      <c r="G29" s="83" t="s">
        <v>549</v>
      </c>
      <c r="H29" s="9"/>
      <c r="I29" s="80"/>
      <c r="J29" s="80" t="s">
        <v>550</v>
      </c>
      <c r="K29" s="9"/>
      <c r="L29" s="9"/>
      <c r="M29" s="83" t="s">
        <v>551</v>
      </c>
      <c r="N29" s="9"/>
      <c r="O29" s="9"/>
      <c r="P29" s="80" t="s">
        <v>552</v>
      </c>
      <c r="Q29" s="9"/>
      <c r="R29" s="9"/>
      <c r="S29" s="80" t="s">
        <v>553</v>
      </c>
      <c r="T29" s="9"/>
      <c r="U29" s="80" t="s">
        <v>554</v>
      </c>
      <c r="V29" s="9"/>
      <c r="W29" s="9"/>
      <c r="X29" s="80" t="s">
        <v>555</v>
      </c>
      <c r="Y29" s="9"/>
      <c r="Z29" s="9"/>
      <c r="AA29" s="80" t="s">
        <v>556</v>
      </c>
      <c r="AB29" s="9"/>
      <c r="AC29" s="9"/>
      <c r="AD29" s="9" t="s">
        <v>557</v>
      </c>
      <c r="AE29" s="9"/>
      <c r="AF29" s="80" t="s">
        <v>558</v>
      </c>
      <c r="AG29" s="385"/>
      <c r="AH29" s="80" t="s">
        <v>559</v>
      </c>
      <c r="AI29" s="9" t="s">
        <v>560</v>
      </c>
      <c r="AJ29" s="9"/>
      <c r="AK29" s="9"/>
      <c r="AL29" s="9" t="s">
        <v>561</v>
      </c>
      <c r="AM29" s="9"/>
    </row>
    <row r="30" spans="1:39" ht="58" x14ac:dyDescent="0.35">
      <c r="A30" s="383"/>
      <c r="B30" s="9"/>
      <c r="C30" s="9"/>
      <c r="D30" s="83" t="s">
        <v>562</v>
      </c>
      <c r="E30" s="9"/>
      <c r="F30" s="9"/>
      <c r="G30" s="80" t="s">
        <v>563</v>
      </c>
      <c r="H30" s="9"/>
      <c r="I30" s="80"/>
      <c r="J30" s="80" t="s">
        <v>564</v>
      </c>
      <c r="K30" s="9"/>
      <c r="L30" s="9"/>
      <c r="M30" s="80" t="s">
        <v>565</v>
      </c>
      <c r="N30" s="9"/>
      <c r="O30" s="9"/>
      <c r="P30" s="80" t="s">
        <v>566</v>
      </c>
      <c r="Q30" s="9"/>
      <c r="R30" s="9"/>
      <c r="S30" s="80" t="s">
        <v>567</v>
      </c>
      <c r="T30" s="9"/>
      <c r="U30" s="80" t="s">
        <v>568</v>
      </c>
      <c r="V30" s="9"/>
      <c r="W30" s="9"/>
      <c r="X30" s="80" t="s">
        <v>569</v>
      </c>
      <c r="Y30" s="9"/>
      <c r="Z30" s="9"/>
      <c r="AA30" s="80" t="s">
        <v>570</v>
      </c>
      <c r="AB30" s="9"/>
      <c r="AC30" s="9"/>
      <c r="AD30" s="9" t="s">
        <v>571</v>
      </c>
      <c r="AE30" s="9"/>
      <c r="AF30" s="9" t="s">
        <v>572</v>
      </c>
      <c r="AG30" s="386"/>
      <c r="AH30" s="9" t="s">
        <v>573</v>
      </c>
      <c r="AI30" s="9" t="s">
        <v>574</v>
      </c>
      <c r="AJ30" s="9"/>
      <c r="AK30" s="9"/>
      <c r="AL30" s="9" t="s">
        <v>575</v>
      </c>
      <c r="AM30" s="9"/>
    </row>
  </sheetData>
  <mergeCells count="4">
    <mergeCell ref="A15:A19"/>
    <mergeCell ref="A21:A30"/>
    <mergeCell ref="AG15:AG19"/>
    <mergeCell ref="AG21:AG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32F3-7ACD-4CEF-A2C7-B69E1B087DA7}">
  <dimension ref="A1:V60"/>
  <sheetViews>
    <sheetView topLeftCell="A39" zoomScaleNormal="100" workbookViewId="0">
      <selection activeCell="F49" sqref="F49"/>
    </sheetView>
  </sheetViews>
  <sheetFormatPr defaultRowHeight="14.5" x14ac:dyDescent="0.35"/>
  <cols>
    <col min="1" max="1" width="22.81640625" bestFit="1" customWidth="1"/>
    <col min="2" max="2" width="9.54296875" bestFit="1" customWidth="1"/>
  </cols>
  <sheetData>
    <row r="1" spans="1:22" x14ac:dyDescent="0.35">
      <c r="A1" s="15"/>
      <c r="B1" s="21"/>
      <c r="C1" s="22">
        <v>45748</v>
      </c>
      <c r="D1" s="22">
        <v>45778</v>
      </c>
      <c r="E1" s="23">
        <v>45809</v>
      </c>
      <c r="F1" s="24" t="s">
        <v>278</v>
      </c>
      <c r="G1" s="25">
        <v>45839</v>
      </c>
      <c r="H1" s="22">
        <v>45870</v>
      </c>
      <c r="I1" s="26">
        <v>45901</v>
      </c>
      <c r="J1" s="27" t="s">
        <v>279</v>
      </c>
      <c r="K1" s="28">
        <v>45931</v>
      </c>
      <c r="L1" s="28">
        <v>45962</v>
      </c>
      <c r="M1" s="29">
        <v>45992</v>
      </c>
      <c r="N1" s="27" t="s">
        <v>281</v>
      </c>
      <c r="O1" s="144">
        <v>46023</v>
      </c>
      <c r="P1" s="144">
        <v>46054</v>
      </c>
      <c r="Q1" s="144">
        <v>46082</v>
      </c>
      <c r="R1" s="162" t="s">
        <v>282</v>
      </c>
      <c r="S1" s="143"/>
      <c r="T1" t="s">
        <v>576</v>
      </c>
      <c r="U1" t="s">
        <v>335</v>
      </c>
      <c r="V1" t="s">
        <v>315</v>
      </c>
    </row>
    <row r="2" spans="1:22" ht="33.65" customHeight="1" x14ac:dyDescent="0.35">
      <c r="A2" s="399" t="s">
        <v>577</v>
      </c>
      <c r="B2" s="31" t="s">
        <v>317</v>
      </c>
      <c r="C2" s="31"/>
      <c r="D2" s="31"/>
      <c r="E2" s="31"/>
      <c r="F2" s="32">
        <v>300</v>
      </c>
      <c r="G2" s="31"/>
      <c r="H2" s="31"/>
      <c r="I2" s="33"/>
      <c r="J2" s="32">
        <v>300</v>
      </c>
      <c r="K2" s="31"/>
      <c r="L2" s="31"/>
      <c r="M2" s="33"/>
      <c r="N2" s="32">
        <v>300</v>
      </c>
      <c r="O2" s="5"/>
      <c r="P2" s="5"/>
      <c r="Q2" s="5"/>
      <c r="R2" s="32">
        <v>300</v>
      </c>
      <c r="T2" t="s">
        <v>331</v>
      </c>
      <c r="U2" t="s">
        <v>278</v>
      </c>
      <c r="V2">
        <v>15</v>
      </c>
    </row>
    <row r="3" spans="1:22" x14ac:dyDescent="0.35">
      <c r="A3" s="400"/>
      <c r="B3" s="31" t="s">
        <v>318</v>
      </c>
      <c r="C3" s="31"/>
      <c r="D3" s="31"/>
      <c r="E3" s="31"/>
      <c r="F3" s="32">
        <v>800</v>
      </c>
      <c r="G3" s="31"/>
      <c r="H3" s="31"/>
      <c r="I3" s="33"/>
      <c r="J3" s="32">
        <v>800</v>
      </c>
      <c r="K3" s="31"/>
      <c r="L3" s="31"/>
      <c r="M3" s="33"/>
      <c r="N3" s="32">
        <v>800</v>
      </c>
      <c r="O3" s="5"/>
      <c r="P3" s="5"/>
      <c r="Q3" s="5"/>
      <c r="R3" s="32">
        <v>800</v>
      </c>
      <c r="U3" t="s">
        <v>279</v>
      </c>
      <c r="V3">
        <v>20</v>
      </c>
    </row>
    <row r="4" spans="1:22" x14ac:dyDescent="0.35">
      <c r="A4" s="400"/>
      <c r="B4" s="31" t="s">
        <v>319</v>
      </c>
      <c r="C4" s="31"/>
      <c r="D4" s="31"/>
      <c r="E4" s="31"/>
      <c r="F4" s="32">
        <v>150</v>
      </c>
      <c r="G4" s="31"/>
      <c r="H4" s="31"/>
      <c r="I4" s="33"/>
      <c r="J4" s="32">
        <v>150</v>
      </c>
      <c r="K4" s="31"/>
      <c r="L4" s="31"/>
      <c r="M4" s="33"/>
      <c r="N4" s="32">
        <v>150</v>
      </c>
      <c r="O4" s="5"/>
      <c r="P4" s="5"/>
      <c r="Q4" s="5"/>
      <c r="R4" s="32">
        <v>150</v>
      </c>
      <c r="U4" t="s">
        <v>281</v>
      </c>
      <c r="V4">
        <v>70</v>
      </c>
    </row>
    <row r="5" spans="1:22" x14ac:dyDescent="0.35">
      <c r="A5" s="400"/>
      <c r="B5" s="31" t="s">
        <v>578</v>
      </c>
      <c r="C5" s="31"/>
      <c r="D5" s="31"/>
      <c r="E5" s="31"/>
      <c r="F5" s="32">
        <v>1000</v>
      </c>
      <c r="G5" s="31"/>
      <c r="H5" s="31"/>
      <c r="I5" s="33"/>
      <c r="J5" s="32">
        <v>1000</v>
      </c>
      <c r="K5" s="31"/>
      <c r="L5" s="31"/>
      <c r="M5" s="33"/>
      <c r="N5" s="32">
        <v>1000</v>
      </c>
      <c r="O5" s="5"/>
      <c r="P5" s="5"/>
      <c r="Q5" s="5"/>
      <c r="R5" s="32">
        <v>1000</v>
      </c>
      <c r="U5" t="s">
        <v>282</v>
      </c>
      <c r="V5">
        <v>210</v>
      </c>
    </row>
    <row r="6" spans="1:22" x14ac:dyDescent="0.35">
      <c r="A6" s="401"/>
      <c r="B6" s="31" t="s">
        <v>579</v>
      </c>
      <c r="C6" s="31"/>
      <c r="D6" s="31"/>
      <c r="E6" s="31"/>
      <c r="F6" s="32">
        <v>4000</v>
      </c>
      <c r="G6" s="31"/>
      <c r="H6" s="31"/>
      <c r="I6" s="33"/>
      <c r="J6" s="32">
        <v>4000</v>
      </c>
      <c r="K6" s="31"/>
      <c r="L6" s="31"/>
      <c r="M6" s="33"/>
      <c r="N6" s="32">
        <v>4000</v>
      </c>
      <c r="O6" s="5"/>
      <c r="P6" s="5"/>
      <c r="Q6" s="5"/>
      <c r="R6" s="32">
        <v>4000</v>
      </c>
    </row>
    <row r="7" spans="1:22" x14ac:dyDescent="0.35">
      <c r="A7" s="15"/>
      <c r="B7" s="21"/>
      <c r="C7" s="21"/>
      <c r="D7" s="21"/>
      <c r="E7" s="21"/>
      <c r="F7" s="21"/>
      <c r="G7" s="21"/>
      <c r="H7" s="21"/>
      <c r="I7" s="21"/>
      <c r="J7" s="21"/>
      <c r="K7" s="21"/>
      <c r="L7" s="21"/>
      <c r="M7" s="21"/>
      <c r="N7" s="21"/>
      <c r="R7" s="21"/>
    </row>
    <row r="8" spans="1:22" x14ac:dyDescent="0.35">
      <c r="A8" s="15"/>
      <c r="B8" s="21"/>
      <c r="C8" s="22">
        <v>45748</v>
      </c>
      <c r="D8" s="22">
        <v>45778</v>
      </c>
      <c r="E8" s="23">
        <v>45809</v>
      </c>
      <c r="F8" s="24" t="s">
        <v>278</v>
      </c>
      <c r="G8" s="25">
        <v>45839</v>
      </c>
      <c r="H8" s="22">
        <v>45870</v>
      </c>
      <c r="I8" s="26">
        <v>45901</v>
      </c>
      <c r="J8" s="30" t="s">
        <v>279</v>
      </c>
      <c r="K8" s="35">
        <v>45931</v>
      </c>
      <c r="L8" s="35">
        <v>45962</v>
      </c>
      <c r="M8" s="35">
        <v>45992</v>
      </c>
      <c r="N8" s="36" t="s">
        <v>281</v>
      </c>
      <c r="O8" s="161">
        <v>46023</v>
      </c>
      <c r="P8" s="161">
        <v>46054</v>
      </c>
      <c r="Q8" s="161">
        <v>46082</v>
      </c>
      <c r="R8" s="36" t="s">
        <v>282</v>
      </c>
      <c r="S8" s="143"/>
    </row>
    <row r="9" spans="1:22" x14ac:dyDescent="0.35">
      <c r="A9" s="399" t="s">
        <v>580</v>
      </c>
      <c r="B9" s="37" t="s">
        <v>317</v>
      </c>
      <c r="C9" s="38">
        <v>4.9500000000000002E-2</v>
      </c>
      <c r="D9" s="38">
        <v>4.4900000000000002E-2</v>
      </c>
      <c r="E9" s="38">
        <v>3.9800000000000002E-2</v>
      </c>
      <c r="F9" s="39">
        <v>4.3900000000000002E-2</v>
      </c>
      <c r="G9" s="38">
        <v>3.5400000000000001E-2</v>
      </c>
      <c r="H9" s="38">
        <v>4.7199999999999999E-2</v>
      </c>
      <c r="I9" s="40">
        <v>4.5199999999999997E-2</v>
      </c>
      <c r="J9" s="41">
        <v>4.19E-2</v>
      </c>
      <c r="K9" s="38">
        <v>5.74E-2</v>
      </c>
      <c r="L9" s="38">
        <v>0.1028</v>
      </c>
      <c r="M9" s="42">
        <v>6.6000000000000003E-2</v>
      </c>
      <c r="N9" s="145">
        <v>7.51E-2</v>
      </c>
      <c r="O9" s="166">
        <v>7.3400000000000007E-2</v>
      </c>
      <c r="P9" s="167">
        <v>5.8000000000000003E-2</v>
      </c>
      <c r="Q9" s="5"/>
      <c r="R9" s="165">
        <v>7.51E-2</v>
      </c>
    </row>
    <row r="10" spans="1:22" x14ac:dyDescent="0.35">
      <c r="A10" s="400"/>
      <c r="B10" s="37" t="s">
        <v>318</v>
      </c>
      <c r="C10" s="31" t="s">
        <v>382</v>
      </c>
      <c r="D10" s="31" t="s">
        <v>382</v>
      </c>
      <c r="E10" s="31" t="s">
        <v>382</v>
      </c>
      <c r="F10" s="32" t="s">
        <v>382</v>
      </c>
      <c r="G10" s="43" t="s">
        <v>382</v>
      </c>
      <c r="H10" s="43" t="s">
        <v>382</v>
      </c>
      <c r="I10" s="43" t="s">
        <v>382</v>
      </c>
      <c r="J10" s="44" t="s">
        <v>382</v>
      </c>
      <c r="K10" s="45" t="s">
        <v>382</v>
      </c>
      <c r="L10" s="45" t="s">
        <v>382</v>
      </c>
      <c r="M10" s="45" t="s">
        <v>382</v>
      </c>
      <c r="N10" s="62" t="s">
        <v>382</v>
      </c>
      <c r="O10" s="43" t="s">
        <v>382</v>
      </c>
      <c r="P10" s="43" t="s">
        <v>382</v>
      </c>
      <c r="Q10" s="43" t="s">
        <v>382</v>
      </c>
      <c r="R10" s="164" t="s">
        <v>382</v>
      </c>
      <c r="S10" s="64"/>
    </row>
    <row r="11" spans="1:22" ht="43.5" x14ac:dyDescent="0.35">
      <c r="A11" s="400"/>
      <c r="B11" s="402" t="s">
        <v>319</v>
      </c>
      <c r="C11" s="45" t="s">
        <v>581</v>
      </c>
      <c r="D11" s="45" t="s">
        <v>582</v>
      </c>
      <c r="E11" s="45" t="s">
        <v>582</v>
      </c>
      <c r="F11" s="46" t="s">
        <v>582</v>
      </c>
      <c r="G11" s="45" t="s">
        <v>582</v>
      </c>
      <c r="H11" s="45" t="s">
        <v>582</v>
      </c>
      <c r="I11" s="47" t="s">
        <v>582</v>
      </c>
      <c r="J11" s="44" t="s">
        <v>582</v>
      </c>
      <c r="K11" s="48" t="s">
        <v>582</v>
      </c>
      <c r="L11" s="48" t="s">
        <v>582</v>
      </c>
      <c r="M11" s="48" t="s">
        <v>582</v>
      </c>
      <c r="N11" s="59" t="s">
        <v>582</v>
      </c>
      <c r="O11" s="397" t="s">
        <v>583</v>
      </c>
      <c r="P11" s="397" t="s">
        <v>584</v>
      </c>
      <c r="Q11" s="395"/>
      <c r="R11" s="387"/>
      <c r="S11" s="160"/>
    </row>
    <row r="12" spans="1:22" x14ac:dyDescent="0.35">
      <c r="A12" s="400"/>
      <c r="B12" s="403"/>
      <c r="C12" s="49">
        <v>0</v>
      </c>
      <c r="D12" s="50">
        <v>5.5500000000000001E-2</v>
      </c>
      <c r="E12" s="50">
        <v>6.2600000000000003E-2</v>
      </c>
      <c r="F12" s="51">
        <v>6.8699999999999997E-2</v>
      </c>
      <c r="G12" s="50">
        <v>6.3600000000000004E-2</v>
      </c>
      <c r="H12" s="50">
        <v>1.04E-2</v>
      </c>
      <c r="I12" s="52">
        <v>9.4000000000000004E-3</v>
      </c>
      <c r="J12" s="51">
        <v>2.9499999999999998E-2</v>
      </c>
      <c r="K12" s="50">
        <v>0.1197</v>
      </c>
      <c r="L12" s="50">
        <v>0.1195</v>
      </c>
      <c r="M12" s="50">
        <v>3.6700000000000003E-2</v>
      </c>
      <c r="N12" s="61">
        <v>9.2499999999999999E-2</v>
      </c>
      <c r="O12" s="391"/>
      <c r="P12" s="391"/>
      <c r="Q12" s="391"/>
      <c r="R12" s="388"/>
      <c r="S12" s="160"/>
    </row>
    <row r="13" spans="1:22" x14ac:dyDescent="0.35">
      <c r="A13" s="400"/>
      <c r="B13" s="403"/>
      <c r="C13" s="45"/>
      <c r="D13" s="45" t="s">
        <v>585</v>
      </c>
      <c r="E13" s="45" t="s">
        <v>585</v>
      </c>
      <c r="F13" s="46" t="s">
        <v>585</v>
      </c>
      <c r="G13" s="45" t="s">
        <v>585</v>
      </c>
      <c r="H13" s="45" t="s">
        <v>585</v>
      </c>
      <c r="I13" s="47" t="s">
        <v>585</v>
      </c>
      <c r="J13" s="46" t="s">
        <v>585</v>
      </c>
      <c r="K13" s="45" t="s">
        <v>585</v>
      </c>
      <c r="L13" s="45" t="s">
        <v>585</v>
      </c>
      <c r="M13" s="45" t="s">
        <v>585</v>
      </c>
      <c r="N13" s="62" t="s">
        <v>585</v>
      </c>
      <c r="O13" s="391"/>
      <c r="P13" s="391"/>
      <c r="Q13" s="391"/>
      <c r="R13" s="388"/>
      <c r="S13" s="160"/>
    </row>
    <row r="14" spans="1:22" x14ac:dyDescent="0.35">
      <c r="A14" s="400"/>
      <c r="B14" s="404"/>
      <c r="C14" s="45"/>
      <c r="D14" s="49">
        <v>0</v>
      </c>
      <c r="E14" s="49">
        <v>0</v>
      </c>
      <c r="F14" s="53">
        <v>0</v>
      </c>
      <c r="G14" s="49">
        <v>0</v>
      </c>
      <c r="H14" s="49">
        <v>0</v>
      </c>
      <c r="I14" s="54">
        <v>0</v>
      </c>
      <c r="J14" s="55">
        <v>0</v>
      </c>
      <c r="K14" s="56">
        <v>6.25E-2</v>
      </c>
      <c r="L14" s="57">
        <v>0</v>
      </c>
      <c r="M14" s="57">
        <v>0</v>
      </c>
      <c r="N14" s="63">
        <v>2.5000000000000001E-2</v>
      </c>
      <c r="O14" s="396"/>
      <c r="P14" s="396"/>
      <c r="Q14" s="396"/>
      <c r="R14" s="389"/>
      <c r="S14" s="160"/>
    </row>
    <row r="15" spans="1:22" x14ac:dyDescent="0.35">
      <c r="A15" s="400"/>
      <c r="B15" s="402" t="s">
        <v>578</v>
      </c>
      <c r="C15" s="48" t="s">
        <v>582</v>
      </c>
      <c r="D15" s="48" t="s">
        <v>582</v>
      </c>
      <c r="E15" s="48" t="s">
        <v>582</v>
      </c>
      <c r="F15" s="59" t="s">
        <v>582</v>
      </c>
      <c r="G15" s="48" t="s">
        <v>582</v>
      </c>
      <c r="H15" s="48" t="s">
        <v>582</v>
      </c>
      <c r="I15" s="60" t="s">
        <v>582</v>
      </c>
      <c r="J15" s="44" t="s">
        <v>582</v>
      </c>
      <c r="K15" s="48" t="s">
        <v>582</v>
      </c>
      <c r="L15" s="48" t="s">
        <v>582</v>
      </c>
      <c r="M15" s="48" t="s">
        <v>582</v>
      </c>
      <c r="N15" s="59" t="s">
        <v>582</v>
      </c>
      <c r="O15" s="397" t="s">
        <v>586</v>
      </c>
      <c r="P15" s="397" t="s">
        <v>587</v>
      </c>
      <c r="Q15" s="395"/>
      <c r="R15" s="387"/>
      <c r="S15" s="160"/>
    </row>
    <row r="16" spans="1:22" x14ac:dyDescent="0.35">
      <c r="A16" s="400"/>
      <c r="B16" s="403"/>
      <c r="C16" s="50">
        <v>3.1399999999999997E-2</v>
      </c>
      <c r="D16" s="50">
        <v>4.6199999999999998E-2</v>
      </c>
      <c r="E16" s="50">
        <v>3.04E-2</v>
      </c>
      <c r="F16" s="61">
        <v>3.7600000000000001E-2</v>
      </c>
      <c r="G16" s="50">
        <v>2.35E-2</v>
      </c>
      <c r="H16" s="50">
        <v>1.72E-2</v>
      </c>
      <c r="I16" s="52">
        <v>7.4000000000000003E-3</v>
      </c>
      <c r="J16" s="51">
        <v>1.61E-2</v>
      </c>
      <c r="K16" s="50">
        <v>3.1699999999999999E-2</v>
      </c>
      <c r="L16" s="50">
        <v>4.1300000000000003E-2</v>
      </c>
      <c r="M16" s="50">
        <v>1.55E-2</v>
      </c>
      <c r="N16" s="146">
        <v>0.03</v>
      </c>
      <c r="O16" s="391"/>
      <c r="P16" s="391"/>
      <c r="Q16" s="391"/>
      <c r="R16" s="388"/>
      <c r="S16" s="160"/>
    </row>
    <row r="17" spans="1:19" x14ac:dyDescent="0.35">
      <c r="A17" s="400"/>
      <c r="B17" s="403"/>
      <c r="C17" s="45" t="s">
        <v>585</v>
      </c>
      <c r="D17" s="45" t="s">
        <v>585</v>
      </c>
      <c r="E17" s="45" t="s">
        <v>585</v>
      </c>
      <c r="F17" s="62" t="s">
        <v>585</v>
      </c>
      <c r="G17" s="45" t="s">
        <v>585</v>
      </c>
      <c r="H17" s="45" t="s">
        <v>585</v>
      </c>
      <c r="I17" s="47" t="s">
        <v>585</v>
      </c>
      <c r="J17" s="46" t="s">
        <v>585</v>
      </c>
      <c r="K17" s="45" t="s">
        <v>585</v>
      </c>
      <c r="L17" s="45" t="s">
        <v>585</v>
      </c>
      <c r="M17" s="45" t="s">
        <v>585</v>
      </c>
      <c r="N17" s="62" t="s">
        <v>585</v>
      </c>
      <c r="O17" s="391"/>
      <c r="P17" s="391"/>
      <c r="Q17" s="391"/>
      <c r="R17" s="388"/>
      <c r="S17" s="160"/>
    </row>
    <row r="18" spans="1:19" x14ac:dyDescent="0.35">
      <c r="A18" s="401"/>
      <c r="B18" s="404"/>
      <c r="C18" s="56">
        <v>3.1300000000000001E-2</v>
      </c>
      <c r="D18" s="56">
        <v>2.1000000000000001E-2</v>
      </c>
      <c r="E18" s="56">
        <v>2.1000000000000001E-2</v>
      </c>
      <c r="F18" s="63">
        <v>2.3E-2</v>
      </c>
      <c r="G18" s="56">
        <v>2.2700000000000001E-2</v>
      </c>
      <c r="H18" s="56">
        <v>7.3000000000000001E-3</v>
      </c>
      <c r="I18" s="52">
        <v>2.29E-2</v>
      </c>
      <c r="J18" s="58">
        <v>2.01E-2</v>
      </c>
      <c r="K18" s="57">
        <v>0</v>
      </c>
      <c r="L18" s="56">
        <v>5.6599999999999998E-2</v>
      </c>
      <c r="M18" s="57">
        <v>0</v>
      </c>
      <c r="N18" s="63">
        <v>2.1000000000000001E-2</v>
      </c>
      <c r="O18" s="396"/>
      <c r="P18" s="396"/>
      <c r="Q18" s="396"/>
      <c r="R18" s="389"/>
      <c r="S18" s="160"/>
    </row>
    <row r="19" spans="1:19" x14ac:dyDescent="0.35">
      <c r="A19" s="20"/>
      <c r="B19" s="21"/>
      <c r="C19" s="64"/>
      <c r="D19" s="64"/>
      <c r="E19" s="64"/>
      <c r="F19" s="60"/>
      <c r="G19" s="21"/>
      <c r="H19" s="21"/>
      <c r="I19" s="37"/>
      <c r="J19" s="65"/>
      <c r="K19" s="21"/>
      <c r="L19" s="21"/>
      <c r="M19" s="21"/>
      <c r="N19" s="65"/>
      <c r="R19" s="65"/>
    </row>
    <row r="20" spans="1:19" x14ac:dyDescent="0.35">
      <c r="A20" s="15"/>
      <c r="B20" s="21"/>
      <c r="C20" s="22">
        <v>45748</v>
      </c>
      <c r="D20" s="22">
        <v>45778</v>
      </c>
      <c r="E20" s="23">
        <v>45809</v>
      </c>
      <c r="F20" s="24" t="s">
        <v>278</v>
      </c>
      <c r="G20" s="25">
        <v>45839</v>
      </c>
      <c r="H20" s="22">
        <v>45870</v>
      </c>
      <c r="I20" s="66">
        <v>45901</v>
      </c>
      <c r="J20" s="36" t="s">
        <v>279</v>
      </c>
      <c r="K20" s="28">
        <v>45931</v>
      </c>
      <c r="L20" s="28">
        <v>45962</v>
      </c>
      <c r="M20" s="28">
        <v>45992</v>
      </c>
      <c r="N20" s="36" t="s">
        <v>281</v>
      </c>
      <c r="O20" s="161">
        <v>46023</v>
      </c>
      <c r="P20" s="161">
        <v>46054</v>
      </c>
      <c r="Q20" s="161">
        <v>46082</v>
      </c>
      <c r="R20" s="36" t="s">
        <v>282</v>
      </c>
      <c r="S20" s="143"/>
    </row>
    <row r="21" spans="1:19" x14ac:dyDescent="0.35">
      <c r="A21" s="399" t="s">
        <v>588</v>
      </c>
      <c r="B21" s="37" t="s">
        <v>317</v>
      </c>
      <c r="C21" s="67" t="s">
        <v>382</v>
      </c>
      <c r="D21" s="67" t="s">
        <v>382</v>
      </c>
      <c r="E21" s="67" t="s">
        <v>382</v>
      </c>
      <c r="F21" s="68" t="s">
        <v>382</v>
      </c>
      <c r="G21" s="31" t="s">
        <v>382</v>
      </c>
      <c r="H21" s="31" t="s">
        <v>382</v>
      </c>
      <c r="I21" s="33" t="s">
        <v>382</v>
      </c>
      <c r="J21" s="44" t="s">
        <v>382</v>
      </c>
      <c r="K21" s="48" t="s">
        <v>382</v>
      </c>
      <c r="L21" s="48" t="s">
        <v>382</v>
      </c>
      <c r="M21" s="48" t="s">
        <v>382</v>
      </c>
      <c r="N21" s="59" t="s">
        <v>382</v>
      </c>
      <c r="O21" s="43" t="s">
        <v>382</v>
      </c>
      <c r="P21" s="43" t="s">
        <v>382</v>
      </c>
      <c r="Q21" s="43" t="s">
        <v>382</v>
      </c>
      <c r="R21" s="164" t="s">
        <v>382</v>
      </c>
      <c r="S21" s="64"/>
    </row>
    <row r="22" spans="1:19" x14ac:dyDescent="0.35">
      <c r="A22" s="400"/>
      <c r="B22" s="402" t="s">
        <v>318</v>
      </c>
      <c r="C22" s="48" t="s">
        <v>582</v>
      </c>
      <c r="D22" s="48" t="s">
        <v>582</v>
      </c>
      <c r="E22" s="48" t="s">
        <v>582</v>
      </c>
      <c r="F22" s="59" t="s">
        <v>582</v>
      </c>
      <c r="G22" s="48" t="s">
        <v>582</v>
      </c>
      <c r="H22" s="48" t="s">
        <v>582</v>
      </c>
      <c r="I22" s="60" t="s">
        <v>582</v>
      </c>
      <c r="J22" s="44" t="s">
        <v>582</v>
      </c>
      <c r="K22" s="48" t="s">
        <v>582</v>
      </c>
      <c r="L22" s="48" t="s">
        <v>582</v>
      </c>
      <c r="M22" s="48" t="s">
        <v>582</v>
      </c>
      <c r="N22" s="59" t="s">
        <v>582</v>
      </c>
      <c r="O22" s="390" t="s">
        <v>819</v>
      </c>
      <c r="P22" s="390" t="s">
        <v>820</v>
      </c>
      <c r="Q22" s="393"/>
      <c r="R22" s="387"/>
    </row>
    <row r="23" spans="1:19" x14ac:dyDescent="0.35">
      <c r="A23" s="400"/>
      <c r="B23" s="403"/>
      <c r="C23" s="45">
        <v>300</v>
      </c>
      <c r="D23" s="45">
        <v>800</v>
      </c>
      <c r="E23" s="45">
        <v>700</v>
      </c>
      <c r="F23" s="62">
        <v>2000</v>
      </c>
      <c r="G23" s="45">
        <v>300</v>
      </c>
      <c r="H23" s="45">
        <v>800</v>
      </c>
      <c r="I23" s="45">
        <v>700</v>
      </c>
      <c r="J23" s="62">
        <v>2000</v>
      </c>
      <c r="K23" s="45">
        <v>1000</v>
      </c>
      <c r="L23" s="45">
        <v>2000</v>
      </c>
      <c r="M23" s="45">
        <v>800</v>
      </c>
      <c r="N23" s="62">
        <v>3500</v>
      </c>
      <c r="O23" s="391"/>
      <c r="P23" s="391"/>
      <c r="Q23" s="391"/>
      <c r="R23" s="388"/>
    </row>
    <row r="24" spans="1:19" x14ac:dyDescent="0.35">
      <c r="A24" s="400"/>
      <c r="B24" s="403"/>
      <c r="C24" s="45" t="s">
        <v>585</v>
      </c>
      <c r="D24" s="45" t="s">
        <v>585</v>
      </c>
      <c r="E24" s="45" t="s">
        <v>585</v>
      </c>
      <c r="F24" s="62" t="s">
        <v>585</v>
      </c>
      <c r="G24" s="45" t="s">
        <v>585</v>
      </c>
      <c r="H24" s="45" t="s">
        <v>585</v>
      </c>
      <c r="I24" s="47" t="s">
        <v>585</v>
      </c>
      <c r="J24" s="46" t="s">
        <v>585</v>
      </c>
      <c r="K24" s="45" t="s">
        <v>585</v>
      </c>
      <c r="L24" s="45" t="s">
        <v>585</v>
      </c>
      <c r="M24" s="45" t="s">
        <v>585</v>
      </c>
      <c r="N24" s="62" t="s">
        <v>585</v>
      </c>
      <c r="O24" s="391"/>
      <c r="P24" s="391"/>
      <c r="Q24" s="391"/>
      <c r="R24" s="388"/>
    </row>
    <row r="25" spans="1:19" x14ac:dyDescent="0.35">
      <c r="A25" s="400"/>
      <c r="B25" s="404"/>
      <c r="C25" s="45">
        <v>300</v>
      </c>
      <c r="D25" s="45">
        <v>800</v>
      </c>
      <c r="E25" s="45">
        <v>700</v>
      </c>
      <c r="F25" s="62">
        <v>2000</v>
      </c>
      <c r="G25" s="45">
        <v>300</v>
      </c>
      <c r="H25" s="45">
        <v>800</v>
      </c>
      <c r="I25" s="45">
        <v>700</v>
      </c>
      <c r="J25" s="62">
        <v>2000</v>
      </c>
      <c r="K25" s="45">
        <v>1000</v>
      </c>
      <c r="L25" s="45">
        <v>2000</v>
      </c>
      <c r="M25" s="45">
        <v>800</v>
      </c>
      <c r="N25" s="62">
        <v>3500</v>
      </c>
      <c r="O25" s="392"/>
      <c r="P25" s="392"/>
      <c r="Q25" s="392"/>
      <c r="R25" s="389"/>
    </row>
    <row r="26" spans="1:19" x14ac:dyDescent="0.35">
      <c r="A26" s="400"/>
      <c r="B26" s="37" t="s">
        <v>319</v>
      </c>
      <c r="C26" s="71" t="s">
        <v>382</v>
      </c>
      <c r="D26" s="71" t="s">
        <v>382</v>
      </c>
      <c r="E26" s="71" t="s">
        <v>382</v>
      </c>
      <c r="F26" s="72" t="s">
        <v>382</v>
      </c>
      <c r="G26" s="43" t="s">
        <v>382</v>
      </c>
      <c r="H26" s="43" t="s">
        <v>382</v>
      </c>
      <c r="I26" s="43" t="s">
        <v>382</v>
      </c>
      <c r="J26" s="69" t="s">
        <v>382</v>
      </c>
      <c r="K26" s="70" t="s">
        <v>382</v>
      </c>
      <c r="L26" s="70" t="s">
        <v>382</v>
      </c>
      <c r="M26" s="70" t="s">
        <v>382</v>
      </c>
      <c r="N26" s="73" t="s">
        <v>382</v>
      </c>
      <c r="O26" s="43" t="s">
        <v>382</v>
      </c>
      <c r="P26" s="43" t="s">
        <v>382</v>
      </c>
      <c r="Q26" s="43" t="s">
        <v>382</v>
      </c>
      <c r="R26" s="164" t="s">
        <v>382</v>
      </c>
      <c r="S26" s="64"/>
    </row>
    <row r="27" spans="1:19" x14ac:dyDescent="0.35">
      <c r="A27" s="401"/>
      <c r="B27" s="37" t="s">
        <v>578</v>
      </c>
      <c r="C27" s="70" t="s">
        <v>382</v>
      </c>
      <c r="D27" s="70" t="s">
        <v>382</v>
      </c>
      <c r="E27" s="70" t="s">
        <v>382</v>
      </c>
      <c r="F27" s="73" t="s">
        <v>382</v>
      </c>
      <c r="G27" s="43" t="s">
        <v>382</v>
      </c>
      <c r="H27" s="43" t="s">
        <v>382</v>
      </c>
      <c r="I27" s="43" t="s">
        <v>382</v>
      </c>
      <c r="J27" s="74" t="s">
        <v>382</v>
      </c>
      <c r="K27" s="71" t="s">
        <v>382</v>
      </c>
      <c r="L27" s="71" t="s">
        <v>382</v>
      </c>
      <c r="M27" s="71" t="s">
        <v>382</v>
      </c>
      <c r="N27" s="72" t="s">
        <v>382</v>
      </c>
      <c r="O27" s="43" t="s">
        <v>382</v>
      </c>
      <c r="P27" s="43" t="s">
        <v>382</v>
      </c>
      <c r="Q27" s="43" t="s">
        <v>382</v>
      </c>
      <c r="R27" s="164" t="s">
        <v>382</v>
      </c>
      <c r="S27" s="64"/>
    </row>
    <row r="28" spans="1:19" x14ac:dyDescent="0.35">
      <c r="A28" s="15"/>
      <c r="B28" s="21"/>
      <c r="C28" s="21"/>
      <c r="D28" s="21"/>
      <c r="E28" s="21"/>
      <c r="F28" s="21"/>
      <c r="G28" s="21"/>
      <c r="H28" s="21"/>
      <c r="I28" s="21"/>
      <c r="J28" s="21"/>
      <c r="K28" s="21"/>
      <c r="L28" s="21"/>
      <c r="M28" s="21"/>
      <c r="N28" s="21"/>
      <c r="R28" s="21"/>
    </row>
    <row r="29" spans="1:19" x14ac:dyDescent="0.35">
      <c r="A29" s="15"/>
      <c r="B29" s="21"/>
      <c r="C29" s="22">
        <v>45748</v>
      </c>
      <c r="D29" s="22">
        <v>45778</v>
      </c>
      <c r="E29" s="23">
        <v>45809</v>
      </c>
      <c r="F29" s="24" t="s">
        <v>278</v>
      </c>
      <c r="G29" s="25">
        <v>45839</v>
      </c>
      <c r="H29" s="22">
        <v>45870</v>
      </c>
      <c r="I29" s="22">
        <v>45901</v>
      </c>
      <c r="J29" s="36" t="s">
        <v>279</v>
      </c>
      <c r="K29" s="35">
        <v>45931</v>
      </c>
      <c r="L29" s="35">
        <v>45962</v>
      </c>
      <c r="M29" s="35">
        <v>45992</v>
      </c>
      <c r="N29" s="36" t="s">
        <v>281</v>
      </c>
      <c r="O29" s="144">
        <v>46023</v>
      </c>
      <c r="P29" s="144">
        <v>46054</v>
      </c>
      <c r="Q29" s="144">
        <v>46082</v>
      </c>
      <c r="R29" s="36" t="s">
        <v>282</v>
      </c>
      <c r="S29" s="143"/>
    </row>
    <row r="30" spans="1:19" x14ac:dyDescent="0.35">
      <c r="A30" s="399" t="s">
        <v>589</v>
      </c>
      <c r="B30" s="37" t="s">
        <v>317</v>
      </c>
      <c r="C30" s="67">
        <v>300</v>
      </c>
      <c r="D30" s="67">
        <v>800</v>
      </c>
      <c r="E30" s="67">
        <v>700</v>
      </c>
      <c r="F30" s="68">
        <v>2000</v>
      </c>
      <c r="G30" s="31">
        <v>300</v>
      </c>
      <c r="H30" s="31">
        <v>800</v>
      </c>
      <c r="I30" s="33">
        <v>700</v>
      </c>
      <c r="J30" s="68">
        <v>2000</v>
      </c>
      <c r="K30" s="67">
        <v>1000</v>
      </c>
      <c r="L30" s="67">
        <v>2000</v>
      </c>
      <c r="M30" s="75">
        <v>800</v>
      </c>
      <c r="N30" s="34">
        <v>3500</v>
      </c>
      <c r="O30" s="5">
        <v>3000</v>
      </c>
      <c r="P30" s="5">
        <v>3000</v>
      </c>
      <c r="Q30" s="5"/>
      <c r="R30" s="163"/>
    </row>
    <row r="31" spans="1:19" x14ac:dyDescent="0.35">
      <c r="A31" s="400"/>
      <c r="B31" s="402" t="s">
        <v>318</v>
      </c>
      <c r="C31" s="48" t="s">
        <v>582</v>
      </c>
      <c r="D31" s="48" t="s">
        <v>582</v>
      </c>
      <c r="E31" s="48" t="s">
        <v>582</v>
      </c>
      <c r="F31" s="76" t="s">
        <v>582</v>
      </c>
      <c r="G31" s="48" t="s">
        <v>582</v>
      </c>
      <c r="H31" s="48" t="s">
        <v>582</v>
      </c>
      <c r="I31" s="60" t="s">
        <v>582</v>
      </c>
      <c r="J31" s="59" t="s">
        <v>582</v>
      </c>
      <c r="K31" s="48" t="s">
        <v>582</v>
      </c>
      <c r="L31" s="48" t="s">
        <v>582</v>
      </c>
      <c r="M31" s="60" t="s">
        <v>582</v>
      </c>
      <c r="N31" s="405"/>
      <c r="O31" s="398" t="s">
        <v>382</v>
      </c>
      <c r="P31" s="395" t="s">
        <v>382</v>
      </c>
      <c r="Q31" s="395"/>
      <c r="R31" s="394"/>
      <c r="S31" s="160"/>
    </row>
    <row r="32" spans="1:19" x14ac:dyDescent="0.35">
      <c r="A32" s="400"/>
      <c r="B32" s="403"/>
      <c r="C32" s="45">
        <v>300</v>
      </c>
      <c r="D32" s="45">
        <v>800</v>
      </c>
      <c r="E32" s="45">
        <v>700</v>
      </c>
      <c r="F32" s="62">
        <v>2000</v>
      </c>
      <c r="G32" s="45">
        <v>300</v>
      </c>
      <c r="H32" s="45">
        <v>800</v>
      </c>
      <c r="I32" s="45">
        <v>700</v>
      </c>
      <c r="J32" s="62">
        <v>2000</v>
      </c>
      <c r="K32" s="45">
        <v>1000</v>
      </c>
      <c r="L32" s="45">
        <v>2000</v>
      </c>
      <c r="M32" s="47" t="s">
        <v>179</v>
      </c>
      <c r="N32" s="406"/>
      <c r="O32" s="398"/>
      <c r="P32" s="391"/>
      <c r="Q32" s="391"/>
      <c r="R32" s="394"/>
      <c r="S32" s="160"/>
    </row>
    <row r="33" spans="1:19" x14ac:dyDescent="0.35">
      <c r="A33" s="400"/>
      <c r="B33" s="403"/>
      <c r="C33" s="45" t="s">
        <v>585</v>
      </c>
      <c r="D33" s="45" t="s">
        <v>585</v>
      </c>
      <c r="E33" s="45" t="s">
        <v>585</v>
      </c>
      <c r="F33" s="77" t="s">
        <v>585</v>
      </c>
      <c r="G33" s="45" t="s">
        <v>585</v>
      </c>
      <c r="H33" s="45" t="s">
        <v>585</v>
      </c>
      <c r="I33" s="47" t="s">
        <v>585</v>
      </c>
      <c r="J33" s="62" t="s">
        <v>585</v>
      </c>
      <c r="K33" s="45" t="s">
        <v>585</v>
      </c>
      <c r="L33" s="45" t="s">
        <v>585</v>
      </c>
      <c r="M33" s="47" t="s">
        <v>585</v>
      </c>
      <c r="N33" s="406"/>
      <c r="O33" s="398"/>
      <c r="P33" s="391"/>
      <c r="Q33" s="391"/>
      <c r="R33" s="394"/>
      <c r="S33" s="160"/>
    </row>
    <row r="34" spans="1:19" x14ac:dyDescent="0.35">
      <c r="A34" s="400"/>
      <c r="B34" s="404"/>
      <c r="C34" s="45">
        <v>300</v>
      </c>
      <c r="D34" s="45">
        <v>800</v>
      </c>
      <c r="E34" s="45">
        <v>700</v>
      </c>
      <c r="F34" s="62">
        <v>2000</v>
      </c>
      <c r="G34" s="45">
        <v>300</v>
      </c>
      <c r="H34" s="45">
        <v>800</v>
      </c>
      <c r="I34" s="45">
        <v>700</v>
      </c>
      <c r="J34" s="62">
        <v>2000</v>
      </c>
      <c r="K34" s="45">
        <v>1000</v>
      </c>
      <c r="L34" s="45">
        <v>2000</v>
      </c>
      <c r="M34" s="78" t="s">
        <v>179</v>
      </c>
      <c r="N34" s="407"/>
      <c r="O34" s="398"/>
      <c r="P34" s="396"/>
      <c r="Q34" s="396"/>
      <c r="R34" s="394"/>
      <c r="S34" s="160"/>
    </row>
    <row r="35" spans="1:19" x14ac:dyDescent="0.35">
      <c r="A35" s="400"/>
      <c r="B35" s="37" t="s">
        <v>319</v>
      </c>
      <c r="C35" s="45" t="s">
        <v>382</v>
      </c>
      <c r="D35" s="45" t="s">
        <v>382</v>
      </c>
      <c r="E35" s="47" t="s">
        <v>382</v>
      </c>
      <c r="F35" s="72" t="s">
        <v>382</v>
      </c>
      <c r="G35" s="43" t="s">
        <v>382</v>
      </c>
      <c r="H35" s="43" t="s">
        <v>382</v>
      </c>
      <c r="I35" s="43" t="s">
        <v>382</v>
      </c>
      <c r="J35" s="72" t="s">
        <v>382</v>
      </c>
      <c r="K35" s="31" t="s">
        <v>382</v>
      </c>
      <c r="L35" s="31" t="s">
        <v>382</v>
      </c>
      <c r="M35" s="33" t="s">
        <v>382</v>
      </c>
      <c r="N35" s="59" t="s">
        <v>382</v>
      </c>
      <c r="O35" s="152" t="s">
        <v>382</v>
      </c>
      <c r="P35" s="152" t="s">
        <v>382</v>
      </c>
      <c r="Q35" s="152" t="s">
        <v>382</v>
      </c>
      <c r="R35" s="164" t="s">
        <v>382</v>
      </c>
      <c r="S35" s="21"/>
    </row>
    <row r="36" spans="1:19" x14ac:dyDescent="0.35">
      <c r="A36" s="400"/>
      <c r="B36" s="402" t="s">
        <v>578</v>
      </c>
      <c r="C36" s="48" t="s">
        <v>582</v>
      </c>
      <c r="D36" s="48" t="s">
        <v>582</v>
      </c>
      <c r="E36" s="60" t="s">
        <v>582</v>
      </c>
      <c r="F36" s="59" t="s">
        <v>582</v>
      </c>
      <c r="G36" s="45" t="s">
        <v>582</v>
      </c>
      <c r="H36" s="45" t="s">
        <v>582</v>
      </c>
      <c r="I36" s="47" t="s">
        <v>582</v>
      </c>
      <c r="J36" s="62" t="s">
        <v>582</v>
      </c>
      <c r="K36" s="48" t="s">
        <v>582</v>
      </c>
      <c r="L36" s="48" t="s">
        <v>582</v>
      </c>
      <c r="M36" s="60" t="s">
        <v>582</v>
      </c>
      <c r="N36" s="147" t="s">
        <v>582</v>
      </c>
      <c r="O36" s="168" t="s">
        <v>582</v>
      </c>
      <c r="P36" s="168" t="s">
        <v>582</v>
      </c>
      <c r="Q36" s="395"/>
      <c r="R36" s="387"/>
      <c r="S36" s="160"/>
    </row>
    <row r="37" spans="1:19" x14ac:dyDescent="0.35">
      <c r="A37" s="400"/>
      <c r="B37" s="403"/>
      <c r="C37" s="45">
        <v>300</v>
      </c>
      <c r="D37" s="45">
        <v>800</v>
      </c>
      <c r="E37" s="47">
        <v>700</v>
      </c>
      <c r="F37" s="62">
        <v>2000</v>
      </c>
      <c r="G37" s="45">
        <v>300</v>
      </c>
      <c r="H37" s="45">
        <v>800</v>
      </c>
      <c r="I37" s="47">
        <v>700</v>
      </c>
      <c r="J37" s="62">
        <v>2000</v>
      </c>
      <c r="K37" s="45">
        <v>1000</v>
      </c>
      <c r="L37" s="45">
        <v>2000</v>
      </c>
      <c r="M37" s="47">
        <v>800</v>
      </c>
      <c r="N37" s="148">
        <v>3500</v>
      </c>
      <c r="O37" s="169">
        <v>200</v>
      </c>
      <c r="P37" s="169">
        <v>100</v>
      </c>
      <c r="Q37" s="391"/>
      <c r="R37" s="388"/>
      <c r="S37" s="160"/>
    </row>
    <row r="38" spans="1:19" x14ac:dyDescent="0.35">
      <c r="A38" s="400"/>
      <c r="B38" s="403"/>
      <c r="C38" s="45" t="s">
        <v>585</v>
      </c>
      <c r="D38" s="45" t="s">
        <v>585</v>
      </c>
      <c r="E38" s="47" t="s">
        <v>585</v>
      </c>
      <c r="F38" s="62" t="s">
        <v>585</v>
      </c>
      <c r="G38" s="45" t="s">
        <v>585</v>
      </c>
      <c r="H38" s="45" t="s">
        <v>585</v>
      </c>
      <c r="I38" s="47" t="s">
        <v>585</v>
      </c>
      <c r="J38" s="62" t="s">
        <v>585</v>
      </c>
      <c r="K38" s="45" t="s">
        <v>585</v>
      </c>
      <c r="L38" s="45" t="s">
        <v>585</v>
      </c>
      <c r="M38" s="47" t="s">
        <v>585</v>
      </c>
      <c r="N38" s="148" t="s">
        <v>585</v>
      </c>
      <c r="O38" s="169" t="s">
        <v>585</v>
      </c>
      <c r="P38" s="169" t="s">
        <v>585</v>
      </c>
      <c r="Q38" s="391"/>
      <c r="R38" s="388"/>
      <c r="S38" s="160"/>
    </row>
    <row r="39" spans="1:19" x14ac:dyDescent="0.35">
      <c r="A39" s="401"/>
      <c r="B39" s="404"/>
      <c r="C39" s="70">
        <v>300</v>
      </c>
      <c r="D39" s="70">
        <v>800</v>
      </c>
      <c r="E39" s="78">
        <v>700</v>
      </c>
      <c r="F39" s="73">
        <v>2000</v>
      </c>
      <c r="G39" s="70">
        <v>300</v>
      </c>
      <c r="H39" s="70">
        <v>800</v>
      </c>
      <c r="I39" s="78">
        <v>700</v>
      </c>
      <c r="J39" s="73">
        <v>2000</v>
      </c>
      <c r="K39" s="70">
        <v>1000</v>
      </c>
      <c r="L39" s="70">
        <v>2000</v>
      </c>
      <c r="M39" s="78">
        <v>800</v>
      </c>
      <c r="N39" s="149">
        <v>3500</v>
      </c>
      <c r="O39" s="170">
        <v>100</v>
      </c>
      <c r="P39" s="170">
        <v>100</v>
      </c>
      <c r="Q39" s="396"/>
      <c r="R39" s="389"/>
      <c r="S39" s="160"/>
    </row>
    <row r="40" spans="1:19" x14ac:dyDescent="0.35">
      <c r="A40" s="15"/>
      <c r="B40" s="21"/>
      <c r="C40" s="21"/>
      <c r="D40" s="21"/>
      <c r="E40" s="21"/>
      <c r="F40" s="21"/>
      <c r="G40" s="21"/>
      <c r="H40" s="21"/>
      <c r="I40" s="21"/>
      <c r="J40" s="21"/>
      <c r="K40" s="21"/>
      <c r="L40" s="21"/>
      <c r="M40" s="21"/>
      <c r="N40" s="21"/>
      <c r="R40" s="21"/>
    </row>
    <row r="41" spans="1:19" x14ac:dyDescent="0.35">
      <c r="A41" s="15"/>
      <c r="B41" s="21"/>
      <c r="C41" s="22">
        <v>45748</v>
      </c>
      <c r="D41" s="22">
        <v>45778</v>
      </c>
      <c r="E41" s="23">
        <v>45809</v>
      </c>
      <c r="F41" s="24" t="s">
        <v>278</v>
      </c>
      <c r="G41" s="25">
        <v>45839</v>
      </c>
      <c r="H41" s="22">
        <v>45870</v>
      </c>
      <c r="I41" s="22">
        <v>45901</v>
      </c>
      <c r="J41" s="36" t="s">
        <v>279</v>
      </c>
      <c r="K41" s="35">
        <v>45931</v>
      </c>
      <c r="L41" s="35">
        <v>45962</v>
      </c>
      <c r="M41" s="35">
        <v>45992</v>
      </c>
      <c r="N41" s="150" t="s">
        <v>281</v>
      </c>
      <c r="O41" s="161">
        <v>46023</v>
      </c>
      <c r="P41" s="161">
        <v>46054</v>
      </c>
      <c r="Q41" s="161">
        <v>46082</v>
      </c>
      <c r="R41" s="162" t="s">
        <v>282</v>
      </c>
      <c r="S41" s="143"/>
    </row>
    <row r="42" spans="1:19" x14ac:dyDescent="0.35">
      <c r="A42" s="399" t="s">
        <v>590</v>
      </c>
      <c r="B42" s="37" t="s">
        <v>317</v>
      </c>
      <c r="C42" s="67">
        <v>300</v>
      </c>
      <c r="D42" s="67">
        <v>800</v>
      </c>
      <c r="E42" s="67">
        <v>700</v>
      </c>
      <c r="F42" s="68">
        <v>2000</v>
      </c>
      <c r="G42" s="31">
        <v>300</v>
      </c>
      <c r="H42" s="31">
        <v>800</v>
      </c>
      <c r="I42" s="33">
        <v>700</v>
      </c>
      <c r="J42" s="68">
        <v>2000</v>
      </c>
      <c r="K42" s="67">
        <v>1000</v>
      </c>
      <c r="L42" s="67">
        <v>2000</v>
      </c>
      <c r="M42" s="75">
        <v>800</v>
      </c>
      <c r="N42" s="34">
        <v>3500</v>
      </c>
      <c r="O42" s="5">
        <v>3000</v>
      </c>
      <c r="P42" s="5">
        <v>3000</v>
      </c>
      <c r="Q42" s="5"/>
      <c r="R42" s="163"/>
    </row>
    <row r="43" spans="1:19" x14ac:dyDescent="0.35">
      <c r="A43" s="400"/>
      <c r="B43" s="402" t="s">
        <v>318</v>
      </c>
      <c r="C43" s="48" t="s">
        <v>582</v>
      </c>
      <c r="D43" s="48" t="s">
        <v>582</v>
      </c>
      <c r="E43" s="48" t="s">
        <v>582</v>
      </c>
      <c r="F43" s="76" t="s">
        <v>582</v>
      </c>
      <c r="G43" s="48" t="s">
        <v>582</v>
      </c>
      <c r="H43" s="48" t="s">
        <v>582</v>
      </c>
      <c r="I43" s="60" t="s">
        <v>582</v>
      </c>
      <c r="J43" s="59" t="s">
        <v>582</v>
      </c>
      <c r="K43" s="60" t="s">
        <v>582</v>
      </c>
      <c r="L43" s="60" t="s">
        <v>582</v>
      </c>
      <c r="M43" s="60" t="s">
        <v>582</v>
      </c>
      <c r="N43" s="59" t="s">
        <v>582</v>
      </c>
      <c r="O43" s="397" t="s">
        <v>821</v>
      </c>
      <c r="P43" s="397" t="s">
        <v>822</v>
      </c>
      <c r="Q43" s="395"/>
      <c r="R43" s="164"/>
    </row>
    <row r="44" spans="1:19" x14ac:dyDescent="0.35">
      <c r="A44" s="400"/>
      <c r="B44" s="403"/>
      <c r="C44" s="45">
        <v>300</v>
      </c>
      <c r="D44" s="45">
        <v>800</v>
      </c>
      <c r="E44" s="45">
        <v>700</v>
      </c>
      <c r="F44" s="62">
        <v>2000</v>
      </c>
      <c r="G44" s="45">
        <v>300</v>
      </c>
      <c r="H44" s="45">
        <v>800</v>
      </c>
      <c r="I44" s="45">
        <v>700</v>
      </c>
      <c r="J44" s="62">
        <v>2000</v>
      </c>
      <c r="K44" s="45">
        <v>1000</v>
      </c>
      <c r="L44" s="45">
        <v>2000</v>
      </c>
      <c r="M44" s="45">
        <v>800</v>
      </c>
      <c r="N44" s="62">
        <v>3500</v>
      </c>
      <c r="O44" s="391"/>
      <c r="P44" s="391"/>
      <c r="Q44" s="391"/>
      <c r="R44" s="164"/>
    </row>
    <row r="45" spans="1:19" x14ac:dyDescent="0.35">
      <c r="A45" s="400"/>
      <c r="B45" s="403"/>
      <c r="C45" s="45" t="s">
        <v>585</v>
      </c>
      <c r="D45" s="45" t="s">
        <v>585</v>
      </c>
      <c r="E45" s="45" t="s">
        <v>585</v>
      </c>
      <c r="F45" s="77" t="s">
        <v>585</v>
      </c>
      <c r="G45" s="45" t="s">
        <v>585</v>
      </c>
      <c r="H45" s="45" t="s">
        <v>585</v>
      </c>
      <c r="I45" s="47" t="s">
        <v>585</v>
      </c>
      <c r="J45" s="62" t="s">
        <v>585</v>
      </c>
      <c r="K45" s="47" t="s">
        <v>585</v>
      </c>
      <c r="L45" s="47" t="s">
        <v>585</v>
      </c>
      <c r="M45" s="47" t="s">
        <v>585</v>
      </c>
      <c r="N45" s="62" t="s">
        <v>585</v>
      </c>
      <c r="O45" s="391"/>
      <c r="P45" s="391"/>
      <c r="Q45" s="391"/>
      <c r="R45" s="164"/>
    </row>
    <row r="46" spans="1:19" x14ac:dyDescent="0.35">
      <c r="A46" s="400"/>
      <c r="B46" s="404"/>
      <c r="C46" s="70">
        <v>300</v>
      </c>
      <c r="D46" s="70">
        <v>800</v>
      </c>
      <c r="E46" s="70">
        <v>700</v>
      </c>
      <c r="F46" s="79">
        <v>2000</v>
      </c>
      <c r="G46" s="70">
        <v>300</v>
      </c>
      <c r="H46" s="70">
        <v>800</v>
      </c>
      <c r="I46" s="78">
        <v>700</v>
      </c>
      <c r="J46" s="73">
        <v>2000</v>
      </c>
      <c r="K46" s="78">
        <v>1000</v>
      </c>
      <c r="L46" s="78">
        <v>2000</v>
      </c>
      <c r="M46" s="78">
        <v>800</v>
      </c>
      <c r="N46" s="73">
        <v>3500</v>
      </c>
      <c r="O46" s="396"/>
      <c r="P46" s="396"/>
      <c r="Q46" s="396"/>
      <c r="R46" s="164"/>
    </row>
    <row r="47" spans="1:19" x14ac:dyDescent="0.35">
      <c r="A47" s="400"/>
      <c r="B47" s="402" t="s">
        <v>319</v>
      </c>
      <c r="C47" s="45" t="s">
        <v>582</v>
      </c>
      <c r="D47" s="45" t="s">
        <v>582</v>
      </c>
      <c r="E47" s="45" t="s">
        <v>582</v>
      </c>
      <c r="F47" s="62" t="s">
        <v>582</v>
      </c>
      <c r="G47" s="48" t="s">
        <v>582</v>
      </c>
      <c r="H47" s="48" t="s">
        <v>582</v>
      </c>
      <c r="I47" s="60" t="s">
        <v>582</v>
      </c>
      <c r="J47" s="59" t="s">
        <v>582</v>
      </c>
      <c r="K47" s="60" t="s">
        <v>582</v>
      </c>
      <c r="L47" s="60" t="s">
        <v>582</v>
      </c>
      <c r="M47" s="60" t="s">
        <v>582</v>
      </c>
      <c r="N47" s="59" t="s">
        <v>582</v>
      </c>
      <c r="O47" s="60" t="s">
        <v>582</v>
      </c>
      <c r="P47" s="60" t="s">
        <v>582</v>
      </c>
      <c r="Q47" s="395"/>
      <c r="R47" s="164"/>
      <c r="S47" s="160"/>
    </row>
    <row r="48" spans="1:19" x14ac:dyDescent="0.35">
      <c r="A48" s="400"/>
      <c r="B48" s="403"/>
      <c r="C48" s="45">
        <v>300</v>
      </c>
      <c r="D48" s="45">
        <v>800</v>
      </c>
      <c r="E48" s="45">
        <v>700</v>
      </c>
      <c r="F48" s="62">
        <v>2000</v>
      </c>
      <c r="G48" s="45">
        <v>300</v>
      </c>
      <c r="H48" s="45">
        <v>800</v>
      </c>
      <c r="I48" s="45">
        <v>700</v>
      </c>
      <c r="J48" s="62">
        <v>2000</v>
      </c>
      <c r="K48" s="45">
        <v>1000</v>
      </c>
      <c r="L48" s="45">
        <v>2000</v>
      </c>
      <c r="M48" s="45">
        <v>800</v>
      </c>
      <c r="N48" s="62">
        <v>3500</v>
      </c>
      <c r="O48" s="47">
        <v>0</v>
      </c>
      <c r="P48" s="47">
        <v>0</v>
      </c>
      <c r="Q48" s="391"/>
      <c r="R48" s="164"/>
      <c r="S48" s="160"/>
    </row>
    <row r="49" spans="1:19" x14ac:dyDescent="0.35">
      <c r="A49" s="400"/>
      <c r="B49" s="403"/>
      <c r="C49" s="45" t="s">
        <v>585</v>
      </c>
      <c r="D49" s="45" t="s">
        <v>585</v>
      </c>
      <c r="E49" s="45" t="s">
        <v>585</v>
      </c>
      <c r="F49" s="62" t="s">
        <v>585</v>
      </c>
      <c r="G49" s="45" t="s">
        <v>585</v>
      </c>
      <c r="H49" s="45" t="s">
        <v>585</v>
      </c>
      <c r="I49" s="47" t="s">
        <v>585</v>
      </c>
      <c r="J49" s="62" t="s">
        <v>585</v>
      </c>
      <c r="K49" s="47" t="s">
        <v>585</v>
      </c>
      <c r="L49" s="47" t="s">
        <v>585</v>
      </c>
      <c r="M49" s="47" t="s">
        <v>585</v>
      </c>
      <c r="N49" s="62" t="s">
        <v>585</v>
      </c>
      <c r="O49" s="47" t="s">
        <v>585</v>
      </c>
      <c r="P49" s="47" t="s">
        <v>585</v>
      </c>
      <c r="Q49" s="391"/>
      <c r="R49" s="164"/>
      <c r="S49" s="160"/>
    </row>
    <row r="50" spans="1:19" x14ac:dyDescent="0.35">
      <c r="A50" s="400"/>
      <c r="B50" s="404"/>
      <c r="C50" s="45">
        <v>300</v>
      </c>
      <c r="D50" s="45">
        <v>800</v>
      </c>
      <c r="E50" s="45">
        <v>700</v>
      </c>
      <c r="F50" s="62">
        <v>2000</v>
      </c>
      <c r="G50" s="70">
        <v>300</v>
      </c>
      <c r="H50" s="70">
        <v>800</v>
      </c>
      <c r="I50" s="78">
        <v>700</v>
      </c>
      <c r="J50" s="73">
        <v>2000</v>
      </c>
      <c r="K50" s="78">
        <v>1000</v>
      </c>
      <c r="L50" s="78">
        <v>2000</v>
      </c>
      <c r="M50" s="47">
        <v>800</v>
      </c>
      <c r="N50" s="62">
        <v>3500</v>
      </c>
      <c r="O50" s="47">
        <v>200</v>
      </c>
      <c r="P50" s="47">
        <v>50</v>
      </c>
      <c r="Q50" s="396"/>
      <c r="R50" s="164">
        <v>350</v>
      </c>
      <c r="S50" s="160"/>
    </row>
    <row r="51" spans="1:19" x14ac:dyDescent="0.35">
      <c r="A51" s="401"/>
      <c r="B51" s="37" t="s">
        <v>578</v>
      </c>
      <c r="C51" s="71" t="s">
        <v>382</v>
      </c>
      <c r="D51" s="71" t="s">
        <v>382</v>
      </c>
      <c r="E51" s="71" t="s">
        <v>382</v>
      </c>
      <c r="F51" s="72" t="s">
        <v>382</v>
      </c>
      <c r="G51" s="78" t="s">
        <v>382</v>
      </c>
      <c r="H51" s="78" t="s">
        <v>382</v>
      </c>
      <c r="I51" s="78" t="s">
        <v>382</v>
      </c>
      <c r="J51" s="73" t="s">
        <v>382</v>
      </c>
      <c r="K51" s="78" t="s">
        <v>382</v>
      </c>
      <c r="L51" s="78" t="s">
        <v>382</v>
      </c>
      <c r="M51" s="43" t="s">
        <v>382</v>
      </c>
      <c r="N51" s="72" t="s">
        <v>382</v>
      </c>
      <c r="O51" s="43" t="s">
        <v>382</v>
      </c>
      <c r="P51" s="43" t="s">
        <v>382</v>
      </c>
      <c r="Q51" s="43" t="s">
        <v>382</v>
      </c>
      <c r="R51" s="164" t="s">
        <v>382</v>
      </c>
      <c r="S51" s="64"/>
    </row>
    <row r="52" spans="1:19" x14ac:dyDescent="0.35">
      <c r="A52" s="15"/>
      <c r="B52" s="21"/>
      <c r="C52" s="21"/>
      <c r="D52" s="21"/>
      <c r="E52" s="21"/>
      <c r="F52" s="21"/>
      <c r="G52" s="21"/>
      <c r="H52" s="21"/>
      <c r="I52" s="21"/>
      <c r="J52" s="21"/>
      <c r="K52" s="21"/>
      <c r="L52" s="21"/>
      <c r="M52" s="21"/>
      <c r="N52" s="21"/>
      <c r="R52" s="21"/>
    </row>
    <row r="53" spans="1:19" x14ac:dyDescent="0.35">
      <c r="A53" s="15"/>
      <c r="B53" s="21"/>
      <c r="C53" s="22">
        <v>45748</v>
      </c>
      <c r="D53" s="22">
        <v>45778</v>
      </c>
      <c r="E53" s="23">
        <v>45809</v>
      </c>
      <c r="F53" s="24" t="s">
        <v>278</v>
      </c>
      <c r="G53" s="25">
        <v>45839</v>
      </c>
      <c r="H53" s="22">
        <v>45870</v>
      </c>
      <c r="I53" s="22">
        <v>45901</v>
      </c>
      <c r="J53" s="36" t="s">
        <v>279</v>
      </c>
      <c r="K53" s="35">
        <v>45931</v>
      </c>
      <c r="L53" s="35">
        <v>45962</v>
      </c>
      <c r="M53" s="35">
        <v>45992</v>
      </c>
      <c r="N53" s="36" t="s">
        <v>281</v>
      </c>
      <c r="O53" s="144">
        <v>46023</v>
      </c>
      <c r="P53" s="144">
        <v>46054</v>
      </c>
      <c r="Q53" s="144">
        <v>46082</v>
      </c>
      <c r="R53" s="36" t="s">
        <v>282</v>
      </c>
      <c r="S53" s="143"/>
    </row>
    <row r="54" spans="1:19" x14ac:dyDescent="0.35">
      <c r="A54" s="399" t="s">
        <v>591</v>
      </c>
      <c r="B54" s="37" t="s">
        <v>317</v>
      </c>
      <c r="C54" s="31">
        <v>787</v>
      </c>
      <c r="D54" s="31">
        <v>871</v>
      </c>
      <c r="E54" s="31">
        <v>814</v>
      </c>
      <c r="F54" s="34">
        <v>2472</v>
      </c>
      <c r="G54" s="31">
        <v>1047</v>
      </c>
      <c r="H54" s="31">
        <v>563</v>
      </c>
      <c r="I54" s="33">
        <v>948</v>
      </c>
      <c r="J54" s="68">
        <v>2558</v>
      </c>
      <c r="K54" s="31">
        <v>1443</v>
      </c>
      <c r="L54" s="31">
        <v>2855</v>
      </c>
      <c r="M54" s="75">
        <v>918</v>
      </c>
      <c r="N54" s="34">
        <v>6000</v>
      </c>
      <c r="O54" s="151">
        <v>2000</v>
      </c>
      <c r="P54" s="151">
        <v>4000</v>
      </c>
      <c r="Q54" s="5"/>
      <c r="R54" s="163"/>
    </row>
    <row r="55" spans="1:19" x14ac:dyDescent="0.35">
      <c r="A55" s="400"/>
      <c r="B55" s="402" t="s">
        <v>318</v>
      </c>
      <c r="C55" s="48" t="s">
        <v>582</v>
      </c>
      <c r="D55" s="48" t="s">
        <v>582</v>
      </c>
      <c r="E55" s="48" t="s">
        <v>582</v>
      </c>
      <c r="F55" s="59" t="s">
        <v>582</v>
      </c>
      <c r="G55" s="48" t="s">
        <v>582</v>
      </c>
      <c r="H55" s="48" t="s">
        <v>582</v>
      </c>
      <c r="I55" s="60" t="s">
        <v>582</v>
      </c>
      <c r="J55" s="59" t="s">
        <v>582</v>
      </c>
      <c r="K55" s="60" t="s">
        <v>582</v>
      </c>
      <c r="L55" s="60" t="s">
        <v>582</v>
      </c>
      <c r="M55" s="60" t="s">
        <v>582</v>
      </c>
      <c r="N55" s="405"/>
      <c r="O55" s="395" t="s">
        <v>382</v>
      </c>
      <c r="P55" s="395" t="s">
        <v>382</v>
      </c>
      <c r="Q55" s="395"/>
      <c r="R55" s="394"/>
      <c r="S55" s="160"/>
    </row>
    <row r="56" spans="1:19" x14ac:dyDescent="0.35">
      <c r="A56" s="400"/>
      <c r="B56" s="403"/>
      <c r="C56" s="45">
        <v>300</v>
      </c>
      <c r="D56" s="45">
        <v>800</v>
      </c>
      <c r="E56" s="45">
        <v>700</v>
      </c>
      <c r="F56" s="62">
        <v>2000</v>
      </c>
      <c r="G56" s="45">
        <v>300</v>
      </c>
      <c r="H56" s="45">
        <v>800</v>
      </c>
      <c r="I56" s="45">
        <v>700</v>
      </c>
      <c r="J56" s="62">
        <v>2000</v>
      </c>
      <c r="K56" s="45">
        <v>1000</v>
      </c>
      <c r="L56" s="45">
        <v>2000</v>
      </c>
      <c r="M56" s="47" t="s">
        <v>179</v>
      </c>
      <c r="N56" s="406"/>
      <c r="O56" s="391"/>
      <c r="P56" s="391"/>
      <c r="Q56" s="391"/>
      <c r="R56" s="394"/>
      <c r="S56" s="160"/>
    </row>
    <row r="57" spans="1:19" x14ac:dyDescent="0.35">
      <c r="A57" s="400"/>
      <c r="B57" s="403"/>
      <c r="C57" s="45" t="s">
        <v>585</v>
      </c>
      <c r="D57" s="45" t="s">
        <v>585</v>
      </c>
      <c r="E57" s="45" t="s">
        <v>585</v>
      </c>
      <c r="F57" s="62" t="s">
        <v>592</v>
      </c>
      <c r="G57" s="45" t="s">
        <v>585</v>
      </c>
      <c r="H57" s="45" t="s">
        <v>585</v>
      </c>
      <c r="I57" s="47" t="s">
        <v>585</v>
      </c>
      <c r="J57" s="62" t="s">
        <v>585</v>
      </c>
      <c r="K57" s="47" t="s">
        <v>585</v>
      </c>
      <c r="L57" s="47" t="s">
        <v>585</v>
      </c>
      <c r="M57" s="47" t="s">
        <v>585</v>
      </c>
      <c r="N57" s="406"/>
      <c r="O57" s="391"/>
      <c r="P57" s="391"/>
      <c r="Q57" s="391"/>
      <c r="R57" s="394"/>
      <c r="S57" s="160"/>
    </row>
    <row r="58" spans="1:19" x14ac:dyDescent="0.35">
      <c r="A58" s="400"/>
      <c r="B58" s="404"/>
      <c r="C58" s="45">
        <v>300</v>
      </c>
      <c r="D58" s="45">
        <v>800</v>
      </c>
      <c r="E58" s="45">
        <v>700</v>
      </c>
      <c r="F58" s="62">
        <v>2000</v>
      </c>
      <c r="G58" s="45">
        <v>300</v>
      </c>
      <c r="H58" s="45">
        <v>800</v>
      </c>
      <c r="I58" s="45">
        <v>700</v>
      </c>
      <c r="J58" s="62">
        <v>2000</v>
      </c>
      <c r="K58" s="45">
        <v>1000</v>
      </c>
      <c r="L58" s="45">
        <v>2000</v>
      </c>
      <c r="M58" s="78" t="s">
        <v>179</v>
      </c>
      <c r="N58" s="407"/>
      <c r="O58" s="396"/>
      <c r="P58" s="396"/>
      <c r="Q58" s="396"/>
      <c r="R58" s="394"/>
      <c r="S58" s="160"/>
    </row>
    <row r="59" spans="1:19" x14ac:dyDescent="0.35">
      <c r="A59" s="400"/>
      <c r="B59" s="37" t="s">
        <v>319</v>
      </c>
      <c r="C59" s="71" t="s">
        <v>382</v>
      </c>
      <c r="D59" s="71" t="s">
        <v>382</v>
      </c>
      <c r="E59" s="71" t="s">
        <v>382</v>
      </c>
      <c r="F59" s="72" t="s">
        <v>382</v>
      </c>
      <c r="G59" s="43" t="s">
        <v>382</v>
      </c>
      <c r="H59" s="43" t="s">
        <v>382</v>
      </c>
      <c r="I59" s="43" t="s">
        <v>382</v>
      </c>
      <c r="J59" s="73" t="s">
        <v>382</v>
      </c>
      <c r="K59" s="78" t="s">
        <v>382</v>
      </c>
      <c r="L59" s="78" t="s">
        <v>382</v>
      </c>
      <c r="M59" s="43" t="s">
        <v>382</v>
      </c>
      <c r="N59" s="72" t="s">
        <v>382</v>
      </c>
      <c r="O59" s="151" t="s">
        <v>382</v>
      </c>
      <c r="P59" s="151" t="s">
        <v>382</v>
      </c>
      <c r="Q59" s="151" t="s">
        <v>382</v>
      </c>
      <c r="R59" s="164" t="s">
        <v>382</v>
      </c>
      <c r="S59" s="64"/>
    </row>
    <row r="60" spans="1:19" x14ac:dyDescent="0.35">
      <c r="A60" s="401"/>
      <c r="B60" s="37" t="s">
        <v>578</v>
      </c>
      <c r="C60" s="71" t="s">
        <v>382</v>
      </c>
      <c r="D60" s="71" t="s">
        <v>382</v>
      </c>
      <c r="E60" s="71" t="s">
        <v>382</v>
      </c>
      <c r="F60" s="72" t="s">
        <v>382</v>
      </c>
      <c r="G60" s="43" t="s">
        <v>382</v>
      </c>
      <c r="H60" s="43" t="s">
        <v>382</v>
      </c>
      <c r="I60" s="43" t="s">
        <v>382</v>
      </c>
      <c r="J60" s="72" t="s">
        <v>382</v>
      </c>
      <c r="K60" s="43" t="s">
        <v>382</v>
      </c>
      <c r="L60" s="43" t="s">
        <v>382</v>
      </c>
      <c r="M60" s="43" t="s">
        <v>382</v>
      </c>
      <c r="N60" s="72" t="s">
        <v>382</v>
      </c>
      <c r="O60" s="151" t="s">
        <v>382</v>
      </c>
      <c r="P60" s="151" t="s">
        <v>382</v>
      </c>
      <c r="Q60" s="151" t="s">
        <v>382</v>
      </c>
      <c r="R60" s="164" t="s">
        <v>382</v>
      </c>
      <c r="S60" s="64"/>
    </row>
  </sheetData>
  <mergeCells count="42">
    <mergeCell ref="A2:A6"/>
    <mergeCell ref="A9:A18"/>
    <mergeCell ref="B11:B14"/>
    <mergeCell ref="B15:B18"/>
    <mergeCell ref="A21:A27"/>
    <mergeCell ref="B22:B25"/>
    <mergeCell ref="A54:A60"/>
    <mergeCell ref="B55:B58"/>
    <mergeCell ref="N55:N58"/>
    <mergeCell ref="A30:A39"/>
    <mergeCell ref="B31:B34"/>
    <mergeCell ref="N31:N34"/>
    <mergeCell ref="B36:B39"/>
    <mergeCell ref="A42:A51"/>
    <mergeCell ref="B43:B46"/>
    <mergeCell ref="B47:B50"/>
    <mergeCell ref="O11:O14"/>
    <mergeCell ref="O15:O18"/>
    <mergeCell ref="O43:O46"/>
    <mergeCell ref="O55:O58"/>
    <mergeCell ref="O31:O34"/>
    <mergeCell ref="R55:R58"/>
    <mergeCell ref="P55:P58"/>
    <mergeCell ref="Q55:Q58"/>
    <mergeCell ref="P43:P46"/>
    <mergeCell ref="Q43:Q46"/>
    <mergeCell ref="Q47:Q50"/>
    <mergeCell ref="P11:P14"/>
    <mergeCell ref="P15:P18"/>
    <mergeCell ref="Q11:Q14"/>
    <mergeCell ref="Q15:Q18"/>
    <mergeCell ref="R15:R18"/>
    <mergeCell ref="R11:R14"/>
    <mergeCell ref="R22:R25"/>
    <mergeCell ref="R36:R39"/>
    <mergeCell ref="O22:O25"/>
    <mergeCell ref="P22:P25"/>
    <mergeCell ref="Q22:Q25"/>
    <mergeCell ref="R31:R34"/>
    <mergeCell ref="Q36:Q39"/>
    <mergeCell ref="P31:P34"/>
    <mergeCell ref="Q31:Q34"/>
  </mergeCell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DFED2-267B-4B00-ACD9-8B10DEEDB3F3}">
  <dimension ref="B2:Y100"/>
  <sheetViews>
    <sheetView topLeftCell="A34" zoomScale="80" zoomScaleNormal="80" workbookViewId="0">
      <selection activeCell="C70" sqref="C70"/>
    </sheetView>
  </sheetViews>
  <sheetFormatPr defaultRowHeight="14.5" x14ac:dyDescent="0.35"/>
  <cols>
    <col min="2" max="6" width="21.54296875" bestFit="1" customWidth="1"/>
    <col min="17" max="17" width="8.7265625" style="220"/>
    <col min="19" max="19" width="54.453125" bestFit="1" customWidth="1"/>
    <col min="20" max="20" width="20.1796875" bestFit="1" customWidth="1"/>
    <col min="21" max="21" width="20.1796875" customWidth="1"/>
  </cols>
  <sheetData>
    <row r="2" spans="2:19" x14ac:dyDescent="0.35">
      <c r="B2" s="2" t="s">
        <v>593</v>
      </c>
      <c r="S2" s="2" t="s">
        <v>594</v>
      </c>
    </row>
    <row r="35" spans="2:3" x14ac:dyDescent="0.35">
      <c r="B35" s="103" t="s">
        <v>595</v>
      </c>
      <c r="C35" t="s">
        <v>596</v>
      </c>
    </row>
    <row r="36" spans="2:3" x14ac:dyDescent="0.35">
      <c r="B36" s="104" t="s">
        <v>30</v>
      </c>
      <c r="C36">
        <v>9</v>
      </c>
    </row>
    <row r="37" spans="2:3" x14ac:dyDescent="0.35">
      <c r="B37" s="104" t="s">
        <v>42</v>
      </c>
      <c r="C37">
        <v>4</v>
      </c>
    </row>
    <row r="38" spans="2:3" x14ac:dyDescent="0.35">
      <c r="B38" s="104" t="s">
        <v>12</v>
      </c>
      <c r="C38">
        <v>4</v>
      </c>
    </row>
    <row r="39" spans="2:3" x14ac:dyDescent="0.35">
      <c r="B39" s="104" t="s">
        <v>39</v>
      </c>
      <c r="C39">
        <v>3</v>
      </c>
    </row>
    <row r="40" spans="2:3" x14ac:dyDescent="0.35">
      <c r="B40" s="104" t="s">
        <v>35</v>
      </c>
      <c r="C40">
        <v>2</v>
      </c>
    </row>
    <row r="41" spans="2:3" x14ac:dyDescent="0.35">
      <c r="B41" s="104" t="s">
        <v>49</v>
      </c>
      <c r="C41">
        <v>2</v>
      </c>
    </row>
    <row r="42" spans="2:3" x14ac:dyDescent="0.35">
      <c r="B42" s="104" t="s">
        <v>24</v>
      </c>
      <c r="C42">
        <v>1</v>
      </c>
    </row>
    <row r="43" spans="2:3" x14ac:dyDescent="0.35">
      <c r="B43" s="104" t="s">
        <v>597</v>
      </c>
      <c r="C43">
        <v>25</v>
      </c>
    </row>
    <row r="52" spans="2:25" x14ac:dyDescent="0.35">
      <c r="B52" s="103" t="s">
        <v>595</v>
      </c>
      <c r="C52" t="s">
        <v>598</v>
      </c>
    </row>
    <row r="53" spans="2:25" x14ac:dyDescent="0.35">
      <c r="B53" s="104" t="s">
        <v>13</v>
      </c>
      <c r="C53">
        <v>12</v>
      </c>
    </row>
    <row r="54" spans="2:25" x14ac:dyDescent="0.35">
      <c r="B54" s="104" t="s">
        <v>31</v>
      </c>
      <c r="C54">
        <v>9</v>
      </c>
    </row>
    <row r="55" spans="2:25" x14ac:dyDescent="0.35">
      <c r="B55" s="104" t="s">
        <v>25</v>
      </c>
      <c r="C55">
        <v>2</v>
      </c>
    </row>
    <row r="56" spans="2:25" x14ac:dyDescent="0.35">
      <c r="B56" s="104" t="s">
        <v>16</v>
      </c>
      <c r="C56">
        <v>2</v>
      </c>
    </row>
    <row r="57" spans="2:25" x14ac:dyDescent="0.35">
      <c r="B57" s="104" t="s">
        <v>597</v>
      </c>
      <c r="C57">
        <v>25</v>
      </c>
    </row>
    <row r="58" spans="2:25" x14ac:dyDescent="0.35">
      <c r="S58" t="s">
        <v>94</v>
      </c>
      <c r="T58" t="s">
        <v>333</v>
      </c>
      <c r="U58" t="s">
        <v>330</v>
      </c>
      <c r="W58" t="s">
        <v>340</v>
      </c>
      <c r="X58" t="s">
        <v>599</v>
      </c>
      <c r="Y58" t="s">
        <v>600</v>
      </c>
    </row>
    <row r="59" spans="2:25" x14ac:dyDescent="0.35">
      <c r="S59" t="s">
        <v>601</v>
      </c>
      <c r="T59">
        <v>30</v>
      </c>
      <c r="U59">
        <f>T59</f>
        <v>30</v>
      </c>
      <c r="W59">
        <v>20</v>
      </c>
      <c r="X59">
        <f>W59</f>
        <v>20</v>
      </c>
    </row>
    <row r="60" spans="2:25" x14ac:dyDescent="0.35">
      <c r="S60" t="s">
        <v>602</v>
      </c>
      <c r="T60">
        <v>30</v>
      </c>
      <c r="U60">
        <f>U59+T60</f>
        <v>60</v>
      </c>
      <c r="W60">
        <v>20</v>
      </c>
      <c r="X60">
        <f>X59+W60</f>
        <v>40</v>
      </c>
    </row>
    <row r="61" spans="2:25" x14ac:dyDescent="0.35">
      <c r="S61" t="s">
        <v>603</v>
      </c>
      <c r="T61">
        <v>30</v>
      </c>
      <c r="U61">
        <f>U60+T61</f>
        <v>90</v>
      </c>
      <c r="W61">
        <v>20</v>
      </c>
      <c r="X61">
        <f t="shared" ref="X61:X63" si="0">X60+W61</f>
        <v>60</v>
      </c>
    </row>
    <row r="62" spans="2:25" x14ac:dyDescent="0.35">
      <c r="S62" t="s">
        <v>604</v>
      </c>
      <c r="T62">
        <v>30</v>
      </c>
      <c r="U62">
        <f>U61+T62</f>
        <v>120</v>
      </c>
      <c r="W62">
        <v>20</v>
      </c>
      <c r="X62">
        <f t="shared" si="0"/>
        <v>80</v>
      </c>
    </row>
    <row r="63" spans="2:25" x14ac:dyDescent="0.35">
      <c r="S63" t="s">
        <v>605</v>
      </c>
      <c r="T63">
        <v>30</v>
      </c>
      <c r="U63">
        <f>U62+T63</f>
        <v>150</v>
      </c>
      <c r="W63">
        <v>20</v>
      </c>
      <c r="X63">
        <f t="shared" si="0"/>
        <v>100</v>
      </c>
    </row>
    <row r="64" spans="2:25" x14ac:dyDescent="0.35">
      <c r="S64" t="s">
        <v>335</v>
      </c>
      <c r="T64" t="s">
        <v>333</v>
      </c>
      <c r="U64" t="s">
        <v>330</v>
      </c>
      <c r="W64" t="s">
        <v>340</v>
      </c>
      <c r="X64" t="s">
        <v>599</v>
      </c>
    </row>
    <row r="65" spans="2:24" x14ac:dyDescent="0.35">
      <c r="S65" t="s">
        <v>281</v>
      </c>
      <c r="T65">
        <f>SUM(T59:T60)</f>
        <v>60</v>
      </c>
      <c r="U65">
        <f>T65</f>
        <v>60</v>
      </c>
      <c r="W65">
        <f>SUM(W59:W60)</f>
        <v>40</v>
      </c>
      <c r="X65">
        <f>W65</f>
        <v>40</v>
      </c>
    </row>
    <row r="66" spans="2:24" x14ac:dyDescent="0.35">
      <c r="S66" t="s">
        <v>282</v>
      </c>
      <c r="T66">
        <f>SUM(T61:T63)</f>
        <v>90</v>
      </c>
      <c r="U66">
        <f>U65+T66</f>
        <v>150</v>
      </c>
      <c r="W66">
        <f>SUM(W61:W63)</f>
        <v>60</v>
      </c>
      <c r="X66">
        <f>X65+W66</f>
        <v>100</v>
      </c>
    </row>
    <row r="70" spans="2:24" x14ac:dyDescent="0.35">
      <c r="B70" s="143">
        <v>46023</v>
      </c>
    </row>
    <row r="74" spans="2:24" x14ac:dyDescent="0.35">
      <c r="S74" t="s">
        <v>5</v>
      </c>
      <c r="T74" t="s">
        <v>606</v>
      </c>
      <c r="U74" t="s">
        <v>600</v>
      </c>
      <c r="V74" t="s">
        <v>340</v>
      </c>
      <c r="W74" t="s">
        <v>600</v>
      </c>
    </row>
    <row r="75" spans="2:24" x14ac:dyDescent="0.35">
      <c r="S75" s="104" t="s">
        <v>31</v>
      </c>
      <c r="T75">
        <v>30</v>
      </c>
      <c r="U75" s="216">
        <v>0.4</v>
      </c>
      <c r="V75">
        <v>20</v>
      </c>
      <c r="W75" s="222">
        <f>V75/V79</f>
        <v>0.25</v>
      </c>
    </row>
    <row r="76" spans="2:24" x14ac:dyDescent="0.35">
      <c r="S76" s="104" t="s">
        <v>13</v>
      </c>
      <c r="T76">
        <v>30</v>
      </c>
      <c r="U76" s="222">
        <f>T76/T79</f>
        <v>0.25</v>
      </c>
      <c r="V76">
        <v>20</v>
      </c>
      <c r="W76" s="222">
        <f>V76/V79</f>
        <v>0.25</v>
      </c>
    </row>
    <row r="77" spans="2:24" x14ac:dyDescent="0.35">
      <c r="S77" s="104" t="s">
        <v>25</v>
      </c>
      <c r="T77">
        <v>30</v>
      </c>
      <c r="U77" s="222">
        <f>T77/T79</f>
        <v>0.25</v>
      </c>
      <c r="V77">
        <v>20</v>
      </c>
      <c r="W77" s="222">
        <f>V77/V79</f>
        <v>0.25</v>
      </c>
    </row>
    <row r="78" spans="2:24" x14ac:dyDescent="0.35">
      <c r="S78" s="104" t="s">
        <v>16</v>
      </c>
      <c r="T78">
        <v>30</v>
      </c>
      <c r="U78" s="222">
        <f>T78/T79</f>
        <v>0.25</v>
      </c>
      <c r="V78">
        <v>20</v>
      </c>
      <c r="W78" s="222">
        <f>V78/V79</f>
        <v>0.25</v>
      </c>
    </row>
    <row r="79" spans="2:24" x14ac:dyDescent="0.35">
      <c r="T79">
        <f>SUM(T75:T78)</f>
        <v>120</v>
      </c>
      <c r="V79">
        <f>SUM(V75:V78)</f>
        <v>80</v>
      </c>
    </row>
    <row r="92" spans="19:23" x14ac:dyDescent="0.35">
      <c r="S92" t="s">
        <v>607</v>
      </c>
      <c r="T92" t="s">
        <v>606</v>
      </c>
      <c r="U92" t="s">
        <v>600</v>
      </c>
      <c r="V92" t="s">
        <v>340</v>
      </c>
      <c r="W92" t="s">
        <v>600</v>
      </c>
    </row>
    <row r="93" spans="19:23" x14ac:dyDescent="0.35">
      <c r="S93" t="s">
        <v>30</v>
      </c>
      <c r="T93">
        <v>20</v>
      </c>
      <c r="U93" s="222">
        <f>T93/T100</f>
        <v>0.14285714285714285</v>
      </c>
      <c r="V93">
        <v>15</v>
      </c>
      <c r="W93" s="222">
        <f>V93/V100</f>
        <v>0.14285714285714285</v>
      </c>
    </row>
    <row r="94" spans="19:23" x14ac:dyDescent="0.35">
      <c r="S94" t="s">
        <v>608</v>
      </c>
      <c r="T94">
        <v>20</v>
      </c>
      <c r="U94" s="222">
        <f>T94/T100</f>
        <v>0.14285714285714285</v>
      </c>
      <c r="V94">
        <v>15</v>
      </c>
      <c r="W94" s="222">
        <f>V94/V100</f>
        <v>0.14285714285714285</v>
      </c>
    </row>
    <row r="95" spans="19:23" x14ac:dyDescent="0.35">
      <c r="S95" t="s">
        <v>609</v>
      </c>
      <c r="T95">
        <v>20</v>
      </c>
      <c r="U95" s="222">
        <f>T95/T100</f>
        <v>0.14285714285714285</v>
      </c>
      <c r="V95">
        <v>15</v>
      </c>
      <c r="W95" s="222">
        <f>V95/V100</f>
        <v>0.14285714285714285</v>
      </c>
    </row>
    <row r="96" spans="19:23" x14ac:dyDescent="0.35">
      <c r="S96" t="s">
        <v>610</v>
      </c>
      <c r="T96">
        <v>20</v>
      </c>
      <c r="U96" s="222">
        <f>T96/T100</f>
        <v>0.14285714285714285</v>
      </c>
      <c r="V96">
        <v>15</v>
      </c>
      <c r="W96" s="222">
        <f>V96/V100</f>
        <v>0.14285714285714285</v>
      </c>
    </row>
    <row r="97" spans="19:23" x14ac:dyDescent="0.35">
      <c r="S97" t="s">
        <v>611</v>
      </c>
      <c r="T97">
        <v>20</v>
      </c>
      <c r="U97" s="222">
        <f>T97/T100</f>
        <v>0.14285714285714285</v>
      </c>
      <c r="V97">
        <v>15</v>
      </c>
      <c r="W97" s="222">
        <f>V97/V100</f>
        <v>0.14285714285714285</v>
      </c>
    </row>
    <row r="98" spans="19:23" x14ac:dyDescent="0.35">
      <c r="S98" s="221" t="s">
        <v>612</v>
      </c>
      <c r="T98">
        <v>20</v>
      </c>
      <c r="U98" s="222">
        <f>T98/T100</f>
        <v>0.14285714285714285</v>
      </c>
      <c r="V98">
        <v>15</v>
      </c>
      <c r="W98" s="222">
        <f>V98/V100</f>
        <v>0.14285714285714285</v>
      </c>
    </row>
    <row r="99" spans="19:23" x14ac:dyDescent="0.35">
      <c r="S99" s="221" t="s">
        <v>613</v>
      </c>
      <c r="T99">
        <v>20</v>
      </c>
      <c r="U99" s="222">
        <f>T99/T100</f>
        <v>0.14285714285714285</v>
      </c>
      <c r="V99">
        <v>15</v>
      </c>
      <c r="W99" s="222">
        <f>V99/V100</f>
        <v>0.14285714285714285</v>
      </c>
    </row>
    <row r="100" spans="19:23" x14ac:dyDescent="0.35">
      <c r="T100">
        <f>SUM(T93:T99)</f>
        <v>140</v>
      </c>
      <c r="V100">
        <f>SUM(V93:V99)</f>
        <v>105</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CEC60-9BF8-44D7-B715-B2F7AFC9A6F8}">
  <dimension ref="A2:F5"/>
  <sheetViews>
    <sheetView zoomScale="90" zoomScaleNormal="90" workbookViewId="0">
      <selection activeCell="R23" sqref="R23"/>
    </sheetView>
  </sheetViews>
  <sheetFormatPr defaultRowHeight="14.5" x14ac:dyDescent="0.35"/>
  <cols>
    <col min="1" max="1" width="17.453125" bestFit="1" customWidth="1"/>
    <col min="2" max="2" width="17.453125" customWidth="1"/>
  </cols>
  <sheetData>
    <row r="2" spans="1:6" x14ac:dyDescent="0.35">
      <c r="A2" t="s">
        <v>576</v>
      </c>
      <c r="B2" t="s">
        <v>335</v>
      </c>
      <c r="C2" t="s">
        <v>614</v>
      </c>
      <c r="D2" t="s">
        <v>340</v>
      </c>
      <c r="E2" t="s">
        <v>383</v>
      </c>
      <c r="F2" t="s">
        <v>615</v>
      </c>
    </row>
    <row r="3" spans="1:6" x14ac:dyDescent="0.35">
      <c r="A3" t="s">
        <v>331</v>
      </c>
      <c r="B3" t="s">
        <v>281</v>
      </c>
      <c r="C3">
        <v>40</v>
      </c>
      <c r="D3">
        <v>20</v>
      </c>
      <c r="E3">
        <v>5</v>
      </c>
      <c r="F3">
        <v>1</v>
      </c>
    </row>
    <row r="4" spans="1:6" x14ac:dyDescent="0.35">
      <c r="B4" t="s">
        <v>282</v>
      </c>
      <c r="C4">
        <v>70</v>
      </c>
      <c r="D4">
        <v>40</v>
      </c>
      <c r="E4">
        <v>15</v>
      </c>
      <c r="F4">
        <v>15</v>
      </c>
    </row>
    <row r="5" spans="1:6" x14ac:dyDescent="0.35">
      <c r="A5" t="s">
        <v>332</v>
      </c>
      <c r="B5" t="s">
        <v>278</v>
      </c>
      <c r="C5">
        <v>20</v>
      </c>
      <c r="D5">
        <v>10</v>
      </c>
      <c r="E5">
        <v>2</v>
      </c>
      <c r="F5">
        <v>15</v>
      </c>
    </row>
  </sheetData>
  <phoneticPr fontId="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F3E2-D728-4600-BCA1-A3121EB20658}">
  <dimension ref="A1:M7"/>
  <sheetViews>
    <sheetView tabSelected="1" workbookViewId="0">
      <selection activeCell="T31" sqref="T31"/>
    </sheetView>
  </sheetViews>
  <sheetFormatPr defaultRowHeight="14.5" x14ac:dyDescent="0.35"/>
  <cols>
    <col min="1" max="1" width="12.54296875" bestFit="1" customWidth="1"/>
  </cols>
  <sheetData>
    <row r="1" spans="1:13" x14ac:dyDescent="0.35">
      <c r="B1" t="s">
        <v>616</v>
      </c>
      <c r="C1" t="s">
        <v>617</v>
      </c>
      <c r="D1" t="s">
        <v>618</v>
      </c>
      <c r="E1" t="s">
        <v>619</v>
      </c>
      <c r="F1" t="s">
        <v>620</v>
      </c>
      <c r="G1" t="s">
        <v>621</v>
      </c>
      <c r="H1" t="s">
        <v>622</v>
      </c>
      <c r="I1" t="s">
        <v>601</v>
      </c>
      <c r="J1" t="s">
        <v>602</v>
      </c>
      <c r="K1" t="s">
        <v>603</v>
      </c>
      <c r="L1" t="s">
        <v>604</v>
      </c>
      <c r="M1" t="s">
        <v>605</v>
      </c>
    </row>
    <row r="2" spans="1:13" x14ac:dyDescent="0.35">
      <c r="A2" t="s">
        <v>623</v>
      </c>
      <c r="B2">
        <v>2000</v>
      </c>
      <c r="C2">
        <v>2000</v>
      </c>
      <c r="D2">
        <v>2000</v>
      </c>
      <c r="E2">
        <v>2000</v>
      </c>
      <c r="F2">
        <v>2000</v>
      </c>
    </row>
    <row r="3" spans="1:13" x14ac:dyDescent="0.35">
      <c r="A3" t="s">
        <v>624</v>
      </c>
      <c r="B3" s="216">
        <v>0.3</v>
      </c>
      <c r="C3" s="216">
        <v>0.3</v>
      </c>
      <c r="D3">
        <v>28.2</v>
      </c>
      <c r="E3">
        <v>28.4</v>
      </c>
      <c r="F3">
        <v>17.5</v>
      </c>
    </row>
    <row r="4" spans="1:13" x14ac:dyDescent="0.35">
      <c r="A4" t="s">
        <v>625</v>
      </c>
      <c r="B4" s="217">
        <v>5.6000000000000001E-2</v>
      </c>
      <c r="C4" s="217">
        <v>5.8000000000000003E-2</v>
      </c>
      <c r="D4">
        <v>4.2</v>
      </c>
      <c r="E4">
        <v>6.3</v>
      </c>
      <c r="F4">
        <v>3.3</v>
      </c>
    </row>
    <row r="5" spans="1:13" x14ac:dyDescent="0.35">
      <c r="A5" t="s">
        <v>626</v>
      </c>
      <c r="B5" t="s">
        <v>630</v>
      </c>
      <c r="C5" t="s">
        <v>631</v>
      </c>
      <c r="D5" t="s">
        <v>627</v>
      </c>
      <c r="E5" t="s">
        <v>628</v>
      </c>
      <c r="F5" t="s">
        <v>629</v>
      </c>
    </row>
    <row r="6" spans="1:13" x14ac:dyDescent="0.35">
      <c r="A6" t="s">
        <v>632</v>
      </c>
      <c r="B6">
        <v>1</v>
      </c>
      <c r="C6">
        <v>4</v>
      </c>
      <c r="D6">
        <v>0</v>
      </c>
      <c r="E6">
        <v>1</v>
      </c>
      <c r="F6">
        <v>1</v>
      </c>
    </row>
    <row r="7" spans="1:13" x14ac:dyDescent="0.35">
      <c r="A7" t="s">
        <v>633</v>
      </c>
      <c r="B7">
        <v>100</v>
      </c>
      <c r="C7">
        <v>100</v>
      </c>
      <c r="D7">
        <v>100</v>
      </c>
      <c r="E7">
        <v>100</v>
      </c>
      <c r="F7">
        <v>100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DBEA0A6AB0A14FA6FC513120CA1C62" ma:contentTypeVersion="18" ma:contentTypeDescription="Create a new document." ma:contentTypeScope="" ma:versionID="7c3de4ab9a258e6e3c9fa8c60eeafcf3">
  <xsd:schema xmlns:xsd="http://www.w3.org/2001/XMLSchema" xmlns:xs="http://www.w3.org/2001/XMLSchema" xmlns:p="http://schemas.microsoft.com/office/2006/metadata/properties" xmlns:ns1="http://schemas.microsoft.com/sharepoint/v3" xmlns:ns2="e53f9bb8-09d0-4dd3-aaec-fc885979377a" xmlns:ns3="4167e674-6a9f-4892-8806-05d2e97a6b2a" targetNamespace="http://schemas.microsoft.com/office/2006/metadata/properties" ma:root="true" ma:fieldsID="54ec0c740e303fd001feae222413f689" ns1:_="" ns2:_="" ns3:_="">
    <xsd:import namespace="http://schemas.microsoft.com/sharepoint/v3"/>
    <xsd:import namespace="e53f9bb8-09d0-4dd3-aaec-fc885979377a"/>
    <xsd:import namespace="4167e674-6a9f-4892-8806-05d2e97a6b2a"/>
    <xsd:element name="properties">
      <xsd:complexType>
        <xsd:sequence>
          <xsd:element name="documentManagement">
            <xsd:complexType>
              <xsd:all>
                <xsd:element ref="ns2:DocumentType"/>
                <xsd:element ref="ns2:Activity" minOccurs="0"/>
                <xsd:element ref="ns2:MeetingDate"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3f9bb8-09d0-4dd3-aaec-fc885979377a" elementFormDefault="qualified">
    <xsd:import namespace="http://schemas.microsoft.com/office/2006/documentManagement/types"/>
    <xsd:import namespace="http://schemas.microsoft.com/office/infopath/2007/PartnerControls"/>
    <xsd:element name="DocumentType" ma:index="2" ma:displayName="Document Type" ma:format="Dropdown" ma:internalName="DocumentType" ma:readOnly="false">
      <xsd:simpleType>
        <xsd:restriction base="dms:Choice">
          <xsd:enumeration value="Report"/>
          <xsd:enumeration value="Standards"/>
          <xsd:enumeration value="Data"/>
          <xsd:enumeration value="Plans"/>
          <xsd:enumeration value="Protocol"/>
          <xsd:enumeration value="Correspondence"/>
          <xsd:enumeration value="Minutes"/>
          <xsd:enumeration value="Website"/>
          <xsd:enumeration value="Choice 9"/>
        </xsd:restriction>
      </xsd:simpleType>
    </xsd:element>
    <xsd:element name="Activity" ma:index="3" nillable="true" ma:displayName="Activity" ma:format="Dropdown" ma:internalName="Activity" ma:readOnly="false">
      <xsd:simpleType>
        <xsd:restriction base="dms:Choice">
          <xsd:enumeration value="Research"/>
          <xsd:enumeration value="Communication"/>
          <xsd:enumeration value="Training"/>
          <xsd:enumeration value="Quality"/>
          <xsd:enumeration value="Analysis"/>
          <xsd:enumeration value="Q3"/>
        </xsd:restriction>
      </xsd:simpleType>
    </xsd:element>
    <xsd:element name="MeetingDate" ma:index="4" nillable="true" ma:displayName="Meeting Date" ma:format="DateOnly" ma:internalName="MeetingDate" ma:readOnly="false">
      <xsd:simpleType>
        <xsd:restriction base="dms:DateTime"/>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efaef41-70dc-4075-804e-d4e4dbdaeee0"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hidden="true" ma:internalName="MediaServiceOCR"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167e674-6a9f-4892-8806-05d2e97a6b2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e8a41ad-8522-457e-916e-ff2a16022778}" ma:internalName="TaxCatchAll" ma:readOnly="false" ma:showField="CatchAllData" ma:web="4167e674-6a9f-4892-8806-05d2e97a6b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etingDate xmlns="e53f9bb8-09d0-4dd3-aaec-fc885979377a" xsi:nil="true"/>
    <DocumentType xmlns="e53f9bb8-09d0-4dd3-aaec-fc885979377a">Data</DocumentType>
    <lcf76f155ced4ddcb4097134ff3c332f xmlns="e53f9bb8-09d0-4dd3-aaec-fc885979377a">
      <Terms xmlns="http://schemas.microsoft.com/office/infopath/2007/PartnerControls"/>
    </lcf76f155ced4ddcb4097134ff3c332f>
    <Activity xmlns="e53f9bb8-09d0-4dd3-aaec-fc885979377a" xsi:nil="true"/>
    <TaxCatchAll xmlns="4167e674-6a9f-4892-8806-05d2e97a6b2a"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8F543DD9-4400-4180-9B72-A973FD59FC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53f9bb8-09d0-4dd3-aaec-fc885979377a"/>
    <ds:schemaRef ds:uri="4167e674-6a9f-4892-8806-05d2e97a6b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266DC4-CF85-47DA-8F33-2D0B97D1C285}">
  <ds:schemaRefs>
    <ds:schemaRef ds:uri="http://schemas.microsoft.com/sharepoint/v3/contenttype/forms"/>
  </ds:schemaRefs>
</ds:datastoreItem>
</file>

<file path=customXml/itemProps3.xml><?xml version="1.0" encoding="utf-8"?>
<ds:datastoreItem xmlns:ds="http://schemas.openxmlformats.org/officeDocument/2006/customXml" ds:itemID="{268FACCA-C641-49D3-924A-3E3A53260A83}">
  <ds:schemaRefs>
    <ds:schemaRef ds:uri="http://schemas.microsoft.com/office/2006/metadata/properties"/>
    <ds:schemaRef ds:uri="http://schemas.microsoft.com/office/infopath/2007/PartnerControls"/>
    <ds:schemaRef ds:uri="e53f9bb8-09d0-4dd3-aaec-fc885979377a"/>
    <ds:schemaRef ds:uri="4167e674-6a9f-4892-8806-05d2e97a6b2a"/>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Account signups</vt:lpstr>
      <vt:lpstr>Survey info</vt:lpstr>
      <vt:lpstr>Website metrics 26_27</vt:lpstr>
      <vt:lpstr>Social media metrics 26_27</vt:lpstr>
      <vt:lpstr>Graphs 26_27</vt:lpstr>
      <vt:lpstr>Website metrics 25_26</vt:lpstr>
      <vt:lpstr>Social media metrics 25_26</vt:lpstr>
      <vt:lpstr>Graphs 25_26</vt:lpstr>
      <vt:lpstr>HWB Perf Rep</vt:lpstr>
      <vt:lpstr>Newsletter metrics</vt:lpstr>
    </vt:vector>
  </TitlesOfParts>
  <Manager/>
  <Company>Public Health Wales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Kathryn Harris (Public Health Wales - Matrix House)</dc:creator>
  <cp:keywords/>
  <dc:description/>
  <cp:lastModifiedBy>Vondy Smith (Public Health Wales - No. 2 Capital Quart</cp:lastModifiedBy>
  <cp:revision/>
  <dcterms:created xsi:type="dcterms:W3CDTF">2026-01-12T14:58:41Z</dcterms:created>
  <dcterms:modified xsi:type="dcterms:W3CDTF">2026-10-09T13:29:39Z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0x010100ECDBEA0A6AB0A14FA6FC513120CA1C62</vt:lpwstr>
  </property>
  <property fmtid="{D5CDD505-2E9C-101B-9397-08002B2CF9AE}" pid="3" name="MediaServiceImageTags">
    <vt:lpwstr/>
  </property>
</Properties>
</file>